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Data analyst\"/>
    </mc:Choice>
  </mc:AlternateContent>
  <xr:revisionPtr revIDLastSave="0" documentId="13_ncr:1_{D79A927C-21EE-4179-842A-1C0BA72B9B9B}" xr6:coauthVersionLast="47" xr6:coauthVersionMax="47" xr10:uidLastSave="{00000000-0000-0000-0000-000000000000}"/>
  <bookViews>
    <workbookView xWindow="-108" yWindow="-108" windowWidth="23256" windowHeight="12456" tabRatio="500" firstSheet="6" activeTab="8" xr2:uid="{00000000-000D-0000-FFFF-FFFF00000000}"/>
  </bookViews>
  <sheets>
    <sheet name="README" sheetId="1" r:id="rId1"/>
    <sheet name="1.Data_Produksi" sheetId="2" r:id="rId2"/>
    <sheet name="2.Data_Reject" sheetId="3" r:id="rId3"/>
    <sheet name="3.Data_Downtime" sheetId="4" r:id="rId4"/>
    <sheet name="4.Data_Material" sheetId="5" r:id="rId5"/>
    <sheet name="5.Soal_1_1_Pivot" sheetId="6" r:id="rId6"/>
    <sheet name="6.Soal_1_2_RejectRate" sheetId="7" r:id="rId7"/>
    <sheet name="7.Soal_1_3_VLOOKUP" sheetId="8" r:id="rId8"/>
    <sheet name="8.Soal_1_4_Dashboard" sheetId="9" r:id="rId9"/>
  </sheets>
  <calcPr calcId="191029" iterateDelta="1E-4"/>
  <pivotCaches>
    <pivotCache cacheId="8" r:id="rId10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K18" i="4" l="1"/>
  <c r="K19" i="4"/>
  <c r="K17" i="4"/>
  <c r="D7" i="7"/>
  <c r="E7" i="7" s="1"/>
  <c r="D8" i="7"/>
  <c r="E8" i="7" s="1"/>
  <c r="F26" i="9"/>
  <c r="F25" i="9"/>
  <c r="F24" i="9"/>
  <c r="F23" i="9"/>
  <c r="F22" i="9"/>
  <c r="F21" i="9"/>
  <c r="G17" i="9"/>
  <c r="F17" i="9"/>
  <c r="G16" i="9"/>
  <c r="F16" i="9"/>
  <c r="H16" i="9" s="1"/>
  <c r="G15" i="9"/>
  <c r="F15" i="9"/>
  <c r="G11" i="9"/>
  <c r="F11" i="9"/>
  <c r="C11" i="9"/>
  <c r="G10" i="9"/>
  <c r="F10" i="9"/>
  <c r="H10" i="9" s="1"/>
  <c r="G9" i="9"/>
  <c r="H9" i="9" s="1"/>
  <c r="F9" i="9"/>
  <c r="C9" i="9"/>
  <c r="C8" i="9"/>
  <c r="G35" i="8"/>
  <c r="G34" i="8"/>
  <c r="G33" i="8"/>
  <c r="G32" i="8"/>
  <c r="G31" i="8"/>
  <c r="G30" i="8"/>
  <c r="G29" i="8"/>
  <c r="G28" i="8"/>
  <c r="G27" i="8"/>
  <c r="G26" i="8"/>
  <c r="G25" i="8"/>
  <c r="G24" i="8"/>
  <c r="G23" i="8"/>
  <c r="G22" i="8"/>
  <c r="G21" i="8"/>
  <c r="G20" i="8"/>
  <c r="G19" i="8"/>
  <c r="G18" i="8"/>
  <c r="G17" i="8"/>
  <c r="G16" i="8"/>
  <c r="G15" i="8"/>
  <c r="G14" i="8"/>
  <c r="G13" i="8"/>
  <c r="G12" i="8"/>
  <c r="G11" i="8"/>
  <c r="G10" i="8"/>
  <c r="G9" i="8"/>
  <c r="G8" i="8"/>
  <c r="G7" i="8"/>
  <c r="G6" i="8"/>
  <c r="C8" i="7"/>
  <c r="C7" i="7"/>
  <c r="D6" i="7"/>
  <c r="C6" i="7"/>
  <c r="E8" i="6"/>
  <c r="D8" i="6"/>
  <c r="C8" i="6"/>
  <c r="F8" i="6" s="1"/>
  <c r="E7" i="6"/>
  <c r="D7" i="6"/>
  <c r="C7" i="6"/>
  <c r="F7" i="6" s="1"/>
  <c r="E6" i="6"/>
  <c r="E9" i="6" s="1"/>
  <c r="D6" i="6"/>
  <c r="D9" i="6" s="1"/>
  <c r="C6" i="6"/>
  <c r="C9" i="6" s="1"/>
  <c r="F28" i="4"/>
  <c r="E28" i="4"/>
  <c r="F27" i="4"/>
  <c r="E27" i="4"/>
  <c r="F26" i="4"/>
  <c r="E26" i="4"/>
  <c r="F25" i="4"/>
  <c r="E25" i="4"/>
  <c r="F24" i="4"/>
  <c r="E24" i="4"/>
  <c r="F23" i="4"/>
  <c r="E23" i="4"/>
  <c r="F22" i="4"/>
  <c r="E22" i="4"/>
  <c r="F21" i="4"/>
  <c r="E21" i="4"/>
  <c r="F20" i="4"/>
  <c r="E20" i="4"/>
  <c r="F19" i="4"/>
  <c r="E19" i="4"/>
  <c r="F18" i="4"/>
  <c r="E18" i="4"/>
  <c r="F17" i="4"/>
  <c r="E17" i="4"/>
  <c r="F16" i="4"/>
  <c r="E16" i="4"/>
  <c r="F15" i="4"/>
  <c r="E15" i="4"/>
  <c r="F14" i="4"/>
  <c r="E14" i="4"/>
  <c r="F13" i="4"/>
  <c r="E13" i="4"/>
  <c r="F12" i="4"/>
  <c r="E12" i="4"/>
  <c r="F11" i="4"/>
  <c r="E11" i="4"/>
  <c r="F10" i="4"/>
  <c r="E10" i="4"/>
  <c r="F9" i="4"/>
  <c r="E9" i="4"/>
  <c r="F8" i="4"/>
  <c r="E8" i="4"/>
  <c r="F7" i="4"/>
  <c r="E7" i="4"/>
  <c r="F6" i="4"/>
  <c r="E6" i="4"/>
  <c r="F5" i="4"/>
  <c r="E5" i="4"/>
  <c r="H28" i="8" s="1"/>
  <c r="F4" i="4"/>
  <c r="E4" i="4"/>
  <c r="F3" i="4"/>
  <c r="E3" i="4"/>
  <c r="F2" i="4"/>
  <c r="E2" i="4"/>
  <c r="H33" i="8" s="1"/>
  <c r="H17" i="9" l="1"/>
  <c r="C12" i="9"/>
  <c r="H11" i="9"/>
  <c r="C10" i="9"/>
  <c r="H15" i="9"/>
  <c r="F8" i="7"/>
  <c r="E6" i="7"/>
  <c r="F6" i="7" s="1"/>
  <c r="F7" i="7"/>
  <c r="H6" i="8"/>
  <c r="H10" i="8"/>
  <c r="H14" i="8"/>
  <c r="H18" i="8"/>
  <c r="H22" i="8"/>
  <c r="H26" i="8"/>
  <c r="H30" i="8"/>
  <c r="H34" i="8"/>
  <c r="H8" i="8"/>
  <c r="H12" i="8"/>
  <c r="H16" i="8"/>
  <c r="H20" i="8"/>
  <c r="H24" i="8"/>
  <c r="H32" i="8"/>
  <c r="F6" i="6"/>
  <c r="F9" i="6" s="1"/>
  <c r="H7" i="8"/>
  <c r="H11" i="8"/>
  <c r="H15" i="8"/>
  <c r="H19" i="8"/>
  <c r="H23" i="8"/>
  <c r="H27" i="8"/>
  <c r="H31" i="8"/>
  <c r="H35" i="8"/>
  <c r="H9" i="8"/>
  <c r="H13" i="8"/>
  <c r="H17" i="8"/>
  <c r="H21" i="8"/>
  <c r="H25" i="8"/>
  <c r="H29" i="8"/>
</calcChain>
</file>

<file path=xl/sharedStrings.xml><?xml version="1.0" encoding="utf-8"?>
<sst xmlns="http://schemas.openxmlformats.org/spreadsheetml/2006/main" count="1799" uniqueCount="121">
  <si>
    <t>Mini Project: Analisis Performa Produksi Otomotif</t>
  </si>
  <si>
    <t>Panduan Soal 1.1 – 1.4 dengan rumus Excel lengkap</t>
  </si>
  <si>
    <t>Sheet</t>
  </si>
  <si>
    <t>Isi</t>
  </si>
  <si>
    <t>1. Data_Produksi</t>
  </si>
  <si>
    <t>Raw data produksi harian (234 baris)</t>
  </si>
  <si>
    <t>2. Data_Reject</t>
  </si>
  <si>
    <t>Raw data reject/defect (78 baris)</t>
  </si>
  <si>
    <t>3. Data_Downtime</t>
  </si>
  <si>
    <t>Raw data downtime mesin</t>
  </si>
  <si>
    <t>4. Data_Material</t>
  </si>
  <si>
    <t>Raw data pemakaian bahan baku (78 baris)</t>
  </si>
  <si>
    <t>5. Soal_1_1_Pivot</t>
  </si>
  <si>
    <t>Jawaban soal 1.1 – Pivot output per mesin</t>
  </si>
  <si>
    <t>6. Soal_1_2_RejectRate</t>
  </si>
  <si>
    <t>Jawaban soal 1.2 – Reject rate dengan SUMIF</t>
  </si>
  <si>
    <t>7. Soal_1_3_VLOOKUP</t>
  </si>
  <si>
    <t>Jawaban soal 1.3 – Gabung downtime via VLOOKUP</t>
  </si>
  <si>
    <t>8. Soal_1_4_Dashboard</t>
  </si>
  <si>
    <t>Jawaban soal 1.4 – Ringkasan dashboard</t>
  </si>
  <si>
    <t>tanggal</t>
  </si>
  <si>
    <t>shift</t>
  </si>
  <si>
    <t>mesin_id</t>
  </si>
  <si>
    <t>produk</t>
  </si>
  <si>
    <t>output_aktual</t>
  </si>
  <si>
    <t>output_target</t>
  </si>
  <si>
    <t>2024-01-02</t>
  </si>
  <si>
    <t>Pagi</t>
  </si>
  <si>
    <t>M-01</t>
  </si>
  <si>
    <t>Arm Bawah</t>
  </si>
  <si>
    <t>Siang</t>
  </si>
  <si>
    <t>Malam</t>
  </si>
  <si>
    <t>M-02</t>
  </si>
  <si>
    <t>Knuckle</t>
  </si>
  <si>
    <t>M-03</t>
  </si>
  <si>
    <t>Bracket</t>
  </si>
  <si>
    <t>2024-01-03</t>
  </si>
  <si>
    <t>2024-01-04</t>
  </si>
  <si>
    <t>2024-01-05</t>
  </si>
  <si>
    <t>2024-01-06</t>
  </si>
  <si>
    <t>2024-01-08</t>
  </si>
  <si>
    <t>2024-01-09</t>
  </si>
  <si>
    <t>2024-01-10</t>
  </si>
  <si>
    <t>2024-01-11</t>
  </si>
  <si>
    <t>2024-01-12</t>
  </si>
  <si>
    <t>2024-01-13</t>
  </si>
  <si>
    <t>2024-01-15</t>
  </si>
  <si>
    <t>2024-01-16</t>
  </si>
  <si>
    <t>2024-01-17</t>
  </si>
  <si>
    <t>2024-01-18</t>
  </si>
  <si>
    <t>2024-01-19</t>
  </si>
  <si>
    <t>2024-01-20</t>
  </si>
  <si>
    <t>2024-01-22</t>
  </si>
  <si>
    <t>2024-01-23</t>
  </si>
  <si>
    <t>2024-01-24</t>
  </si>
  <si>
    <t>2024-01-25</t>
  </si>
  <si>
    <t>2024-01-26</t>
  </si>
  <si>
    <t>2024-01-27</t>
  </si>
  <si>
    <t>2024-01-29</t>
  </si>
  <si>
    <t>2024-01-30</t>
  </si>
  <si>
    <t>2024-01-31</t>
  </si>
  <si>
    <t>jumlah_reject</t>
  </si>
  <si>
    <t>jenis_defect</t>
  </si>
  <si>
    <t>Dimensi meleset</t>
  </si>
  <si>
    <t>Inklusi material</t>
  </si>
  <si>
    <t>Bekas las tidak rata</t>
  </si>
  <si>
    <t>Permukaan kasar</t>
  </si>
  <si>
    <t>Retak mikro</t>
  </si>
  <si>
    <t>Porosity casting</t>
  </si>
  <si>
    <t>durasi_menit</t>
  </si>
  <si>
    <t>penyebab</t>
  </si>
  <si>
    <t>key</t>
  </si>
  <si>
    <t>durasi_ref</t>
  </si>
  <si>
    <t>Penyetelan mesin</t>
  </si>
  <si>
    <t>Overheating</t>
  </si>
  <si>
    <t>Kebocoran oli</t>
  </si>
  <si>
    <t>Kerusakan tooling</t>
  </si>
  <si>
    <t>Perawatan rutin</t>
  </si>
  <si>
    <t>Penggantian die</t>
  </si>
  <si>
    <t>material</t>
  </si>
  <si>
    <t>pemakaian_kg</t>
  </si>
  <si>
    <t>standar_kg</t>
  </si>
  <si>
    <t>Aluminium</t>
  </si>
  <si>
    <t>Besi cor</t>
  </si>
  <si>
    <t>Soal 1.1 — Total Output per Mesin per Produk</t>
  </si>
  <si>
    <t>Rumus: =SUMPRODUCT((mesin=B6)*(produk=C5)*output) — menghitung total output untuk kombinasi mesin &amp; produk tertentu</t>
  </si>
  <si>
    <t>Mesin / Produk</t>
  </si>
  <si>
    <t>Total</t>
  </si>
  <si>
    <t>Grand Total</t>
  </si>
  <si>
    <t>Insight: Lihat kolom Total — mesin mana yang output-nya paling tinggi? Bandingkan juga dengan target untuk menghitung achievement rate.</t>
  </si>
  <si>
    <t>Soal 1.2 — Reject Rate (%) per Mesin</t>
  </si>
  <si>
    <t>Rumus: Reject Rate = SUMIF(reject, mesin) / SUMIF(produksi, mesin) × 100</t>
  </si>
  <si>
    <t>Mesin</t>
  </si>
  <si>
    <t>Total Output</t>
  </si>
  <si>
    <t>Total Reject</t>
  </si>
  <si>
    <t>Reject Rate (%)</t>
  </si>
  <si>
    <t>Status</t>
  </si>
  <si>
    <t>Insight: Reject rate &gt; 5% = perlu investigasi penyebab defect. Cek sheet Data_Reject untuk breakdown jenis_defect per mesin.</t>
  </si>
  <si>
    <t>Soal 1.3 — Gabungkan Downtime ke Data Produksi (VLOOKUP / IFERROR)</t>
  </si>
  <si>
    <t>Kunci gabung: kolom KEY = tanggal &amp; mesin_id. Rumus: =IFERROR(VLOOKUP(key, tabel_downtime, 3, 0), 0)</t>
  </si>
  <si>
    <t>key_produksi</t>
  </si>
  <si>
    <t>downtime_menit</t>
  </si>
  <si>
    <t>Catatan: Kolom key_produksi = tanggal &amp; mesin_id (misal '2024-01-02M-02'). Kolom E &amp; F di sheet Downtime juga menggunakan key yang sama untuk VLOOKUP.</t>
  </si>
  <si>
    <t>Dashboard Performa Produksi — PT Maju Jaya Komponen · Januari 2024</t>
  </si>
  <si>
    <t>Soal 1.4 — Ringkasan KPI + sumber data untuk 3 chart portofolio Anda</t>
  </si>
  <si>
    <t>KPI Utama</t>
  </si>
  <si>
    <t>Chart 1: Output vs Target per Mesin</t>
  </si>
  <si>
    <t>Total Output (unit)</t>
  </si>
  <si>
    <t>Total Target</t>
  </si>
  <si>
    <t>Achievement (%)</t>
  </si>
  <si>
    <t>Total Target (unit)</t>
  </si>
  <si>
    <t>Achievement Rate (%)</t>
  </si>
  <si>
    <t>Total Reject (unit)</t>
  </si>
  <si>
    <t>Avg Reject Rate (%)</t>
  </si>
  <si>
    <t>Chart 2: Reject Rate per Mesin</t>
  </si>
  <si>
    <t>Chart 3: Top Penyebab Downtime</t>
  </si>
  <si>
    <t>Penyebab</t>
  </si>
  <si>
    <t>Total Durasi (menit)</t>
  </si>
  <si>
    <t>Cara buat chart: Pilih tabel Chart 1/2/3 → Insert → Recommended Charts → Bar Chart. Untuk Chart 3 gunakan Pie Chart. Screenshot hasilnya untuk portofolio.</t>
  </si>
  <si>
    <t>Row Labels</t>
  </si>
  <si>
    <t>Sum of durasi_ref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</si>
</sst>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18" x14ac:knownFonts="1">
    <font>
      <sz val="11"/>
      <color theme="1"/>
      <name val="Calibri"/>
      <family val="2"/>
      <charset val="1"/>
    </font>
    <font>
      <b/>
      <sz val="14"/>
      <color rgb="FF085041"/>
      <name val="Arial"/>
      <charset val="1"/>
    </font>
    <font>
      <sz val="11"/>
      <color rgb="FF5F5E5A"/>
      <name val="Arial"/>
      <charset val="1"/>
    </font>
    <font>
      <b/>
      <sz val="11"/>
      <color rgb="FFFFFFFF"/>
      <name val="Arial"/>
      <charset val="1"/>
    </font>
    <font>
      <sz val="10"/>
      <name val="Arial"/>
      <charset val="1"/>
    </font>
    <font>
      <b/>
      <sz val="13"/>
      <color rgb="FF085041"/>
      <name val="Arial"/>
      <charset val="1"/>
    </font>
    <font>
      <i/>
      <sz val="10"/>
      <color rgb="FF5F5E5A"/>
      <name val="Arial"/>
      <charset val="1"/>
    </font>
    <font>
      <b/>
      <sz val="10"/>
      <name val="Arial"/>
      <charset val="1"/>
    </font>
    <font>
      <b/>
      <sz val="10"/>
      <color rgb="FF085041"/>
      <name val="Arial"/>
      <charset val="1"/>
    </font>
    <font>
      <i/>
      <sz val="10"/>
      <color rgb="FF633806"/>
      <name val="Arial"/>
      <charset val="1"/>
    </font>
    <font>
      <b/>
      <sz val="13"/>
      <color rgb="FF3C3489"/>
      <name val="Arial"/>
      <charset val="1"/>
    </font>
    <font>
      <i/>
      <sz val="10"/>
      <color rgb="FF3C3489"/>
      <name val="Arial"/>
      <charset val="1"/>
    </font>
    <font>
      <b/>
      <sz val="13"/>
      <color rgb="FF633806"/>
      <name val="Arial"/>
      <charset val="1"/>
    </font>
    <font>
      <sz val="10"/>
      <color rgb="FF3C3489"/>
      <name val="Arial"/>
      <charset val="1"/>
    </font>
    <font>
      <sz val="10"/>
      <color rgb="FF5F5E5A"/>
      <name val="Arial"/>
      <charset val="1"/>
    </font>
    <font>
      <b/>
      <sz val="11"/>
      <color rgb="FF085041"/>
      <name val="Arial"/>
      <charset val="1"/>
    </font>
    <font>
      <b/>
      <sz val="11"/>
      <color rgb="FF712B13"/>
      <name val="Arial"/>
      <charset val="1"/>
    </font>
    <font>
      <i/>
      <sz val="10"/>
      <color rgb="FF085041"/>
      <name val="Arial"/>
      <charset val="1"/>
    </font>
  </fonts>
  <fills count="15">
    <fill>
      <patternFill patternType="none"/>
    </fill>
    <fill>
      <patternFill patternType="gray125"/>
    </fill>
    <fill>
      <patternFill patternType="solid">
        <fgColor rgb="FF085041"/>
        <bgColor rgb="FF003300"/>
      </patternFill>
    </fill>
    <fill>
      <patternFill patternType="solid">
        <fgColor rgb="FFF1EFE8"/>
        <bgColor rgb="FFFAECE7"/>
      </patternFill>
    </fill>
    <fill>
      <patternFill patternType="solid">
        <fgColor rgb="FFFFFFFF"/>
        <bgColor rgb="FFF1EFE8"/>
      </patternFill>
    </fill>
    <fill>
      <patternFill patternType="solid">
        <fgColor rgb="FF3C3489"/>
        <bgColor rgb="FF534AB7"/>
      </patternFill>
    </fill>
    <fill>
      <patternFill patternType="solid">
        <fgColor rgb="FF633806"/>
        <bgColor rgb="FF712B13"/>
      </patternFill>
    </fill>
    <fill>
      <patternFill patternType="solid">
        <fgColor rgb="FF712B13"/>
        <bgColor rgb="FF633806"/>
      </patternFill>
    </fill>
    <fill>
      <patternFill patternType="solid">
        <fgColor rgb="FF1D9E75"/>
        <bgColor rgb="FF008080"/>
      </patternFill>
    </fill>
    <fill>
      <patternFill patternType="solid">
        <fgColor rgb="FFE1F5EE"/>
        <bgColor rgb="FFF1EFE8"/>
      </patternFill>
    </fill>
    <fill>
      <patternFill patternType="solid">
        <fgColor rgb="FFFAEEDA"/>
        <bgColor rgb="FFFAECE7"/>
      </patternFill>
    </fill>
    <fill>
      <patternFill patternType="solid">
        <fgColor rgb="FFEEEDFE"/>
        <bgColor rgb="FFF1EFE8"/>
      </patternFill>
    </fill>
    <fill>
      <patternFill patternType="solid">
        <fgColor rgb="FFFAECE7"/>
        <bgColor rgb="FFFAEEDA"/>
      </patternFill>
    </fill>
    <fill>
      <patternFill patternType="solid">
        <fgColor rgb="FF534AB7"/>
        <bgColor rgb="FF3C3489"/>
      </patternFill>
    </fill>
    <fill>
      <patternFill patternType="solid">
        <fgColor rgb="FFBA7517"/>
        <bgColor rgb="FFFF6600"/>
      </patternFill>
    </fill>
  </fills>
  <borders count="3">
    <border>
      <left/>
      <right/>
      <top/>
      <bottom/>
      <diagonal/>
    </border>
    <border>
      <left style="thin">
        <color rgb="FFD3D1C7"/>
      </left>
      <right style="thin">
        <color rgb="FFD3D1C7"/>
      </right>
      <top style="thin">
        <color rgb="FFD3D1C7"/>
      </top>
      <bottom style="thin">
        <color rgb="FFD3D1C7"/>
      </bottom>
      <diagonal/>
    </border>
    <border>
      <left style="thin">
        <color rgb="FFD3D1C7"/>
      </left>
      <right/>
      <top style="thin">
        <color rgb="FFD3D1C7"/>
      </top>
      <bottom style="thin">
        <color rgb="FFD3D1C7"/>
      </bottom>
      <diagonal/>
    </border>
  </borders>
  <cellStyleXfs count="1">
    <xf numFmtId="0" fontId="0" fillId="0" borderId="0"/>
  </cellStyleXfs>
  <cellXfs count="58">
    <xf numFmtId="0" fontId="0" fillId="0" borderId="0" xfId="0"/>
    <xf numFmtId="3" fontId="4" fillId="4" borderId="2" xfId="0" applyNumberFormat="1" applyFont="1" applyFill="1" applyBorder="1" applyAlignment="1">
      <alignment horizontal="center" vertical="center" wrapText="1"/>
    </xf>
    <xf numFmtId="0" fontId="3" fillId="14" borderId="1" xfId="0" applyFont="1" applyFill="1" applyBorder="1" applyAlignment="1">
      <alignment horizontal="center" vertical="center" wrapText="1"/>
    </xf>
    <xf numFmtId="0" fontId="3" fillId="6" borderId="1" xfId="0" applyFont="1" applyFill="1" applyBorder="1"/>
    <xf numFmtId="0" fontId="3" fillId="5" borderId="1" xfId="0" applyFont="1" applyFill="1" applyBorder="1"/>
    <xf numFmtId="0" fontId="3" fillId="2" borderId="1" xfId="0" applyFont="1" applyFill="1" applyBorder="1"/>
    <xf numFmtId="0" fontId="1" fillId="0" borderId="0" xfId="0" applyFont="1"/>
    <xf numFmtId="0" fontId="12" fillId="0" borderId="0" xfId="0" applyFont="1"/>
    <xf numFmtId="0" fontId="11" fillId="11" borderId="0" xfId="0" applyFont="1" applyFill="1" applyAlignment="1">
      <alignment horizontal="left" vertical="center" wrapText="1"/>
    </xf>
    <xf numFmtId="0" fontId="10" fillId="0" borderId="0" xfId="0" applyFont="1"/>
    <xf numFmtId="0" fontId="9" fillId="10" borderId="0" xfId="0" applyFont="1" applyFill="1" applyAlignment="1">
      <alignment horizontal="left" vertical="center" wrapText="1"/>
    </xf>
    <xf numFmtId="0" fontId="6" fillId="0" borderId="0" xfId="0" applyFont="1"/>
    <xf numFmtId="0" fontId="5" fillId="0" borderId="0" xfId="0" applyFont="1" applyAlignment="1">
      <alignment horizontal="left" vertical="center"/>
    </xf>
    <xf numFmtId="0" fontId="2" fillId="0" borderId="0" xfId="0" applyFont="1"/>
    <xf numFmtId="0" fontId="1" fillId="0" borderId="0" xfId="0" applyFont="1" applyAlignment="1">
      <alignment horizontal="left" vertical="center"/>
    </xf>
    <xf numFmtId="0" fontId="3" fillId="2" borderId="0" xfId="0" applyFont="1" applyFill="1"/>
    <xf numFmtId="0" fontId="4" fillId="3" borderId="1" xfId="0" applyFont="1" applyFill="1" applyBorder="1"/>
    <xf numFmtId="0" fontId="4" fillId="4" borderId="1" xfId="0" applyFont="1" applyFill="1" applyBorder="1"/>
    <xf numFmtId="0" fontId="3" fillId="2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3" fillId="7" borderId="1" xfId="0" applyFont="1" applyFill="1" applyBorder="1" applyAlignment="1">
      <alignment horizontal="center" vertical="center" wrapText="1"/>
    </xf>
    <xf numFmtId="0" fontId="3" fillId="8" borderId="1" xfId="0" applyFont="1" applyFill="1" applyBorder="1" applyAlignment="1">
      <alignment horizontal="center" vertical="center" wrapText="1"/>
    </xf>
    <xf numFmtId="3" fontId="4" fillId="3" borderId="1" xfId="0" applyNumberFormat="1" applyFont="1" applyFill="1" applyBorder="1" applyAlignment="1">
      <alignment horizontal="center" vertical="center" wrapText="1"/>
    </xf>
    <xf numFmtId="3" fontId="7" fillId="9" borderId="1" xfId="0" applyNumberFormat="1" applyFont="1" applyFill="1" applyBorder="1" applyAlignment="1">
      <alignment horizontal="center" vertical="center" wrapText="1"/>
    </xf>
    <xf numFmtId="3" fontId="4" fillId="4" borderId="1" xfId="0" applyNumberFormat="1" applyFont="1" applyFill="1" applyBorder="1" applyAlignment="1">
      <alignment horizontal="center" vertical="center" wrapText="1"/>
    </xf>
    <xf numFmtId="3" fontId="8" fillId="9" borderId="1" xfId="0" applyNumberFormat="1" applyFont="1" applyFill="1" applyBorder="1" applyAlignment="1">
      <alignment horizontal="center" vertical="center" wrapText="1"/>
    </xf>
    <xf numFmtId="0" fontId="7" fillId="11" borderId="1" xfId="0" applyFont="1" applyFill="1" applyBorder="1" applyAlignment="1">
      <alignment horizontal="center" vertical="center" wrapText="1"/>
    </xf>
    <xf numFmtId="2" fontId="4" fillId="3" borderId="1" xfId="0" applyNumberFormat="1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6" fillId="10" borderId="1" xfId="0" applyFont="1" applyFill="1" applyBorder="1" applyAlignment="1">
      <alignment horizontal="center" vertical="center" wrapText="1"/>
    </xf>
    <xf numFmtId="3" fontId="13" fillId="11" borderId="1" xfId="0" applyNumberFormat="1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3" fillId="2" borderId="1" xfId="0" applyFont="1" applyFill="1" applyBorder="1"/>
    <xf numFmtId="0" fontId="14" fillId="9" borderId="1" xfId="0" applyFont="1" applyFill="1" applyBorder="1" applyAlignment="1">
      <alignment horizontal="left" vertical="center"/>
    </xf>
    <xf numFmtId="3" fontId="15" fillId="9" borderId="1" xfId="0" applyNumberFormat="1" applyFont="1" applyFill="1" applyBorder="1" applyAlignment="1">
      <alignment horizontal="center" vertical="center" wrapText="1"/>
    </xf>
    <xf numFmtId="0" fontId="7" fillId="9" borderId="1" xfId="0" applyFont="1" applyFill="1" applyBorder="1" applyAlignment="1">
      <alignment horizontal="center" vertical="center" wrapText="1"/>
    </xf>
    <xf numFmtId="164" fontId="4" fillId="4" borderId="1" xfId="0" applyNumberFormat="1" applyFont="1" applyFill="1" applyBorder="1" applyAlignment="1">
      <alignment horizontal="center" vertical="center" wrapText="1"/>
    </xf>
    <xf numFmtId="4" fontId="15" fillId="9" borderId="1" xfId="0" applyNumberFormat="1" applyFont="1" applyFill="1" applyBorder="1" applyAlignment="1">
      <alignment horizontal="center" vertical="center" wrapText="1"/>
    </xf>
    <xf numFmtId="164" fontId="4" fillId="3" borderId="1" xfId="0" applyNumberFormat="1" applyFont="1" applyFill="1" applyBorder="1" applyAlignment="1">
      <alignment horizontal="center" vertical="center" wrapText="1"/>
    </xf>
    <xf numFmtId="0" fontId="14" fillId="12" borderId="1" xfId="0" applyFont="1" applyFill="1" applyBorder="1" applyAlignment="1">
      <alignment horizontal="left" vertical="center"/>
    </xf>
    <xf numFmtId="3" fontId="16" fillId="12" borderId="1" xfId="0" applyNumberFormat="1" applyFont="1" applyFill="1" applyBorder="1" applyAlignment="1">
      <alignment horizontal="center" vertical="center" wrapText="1"/>
    </xf>
    <xf numFmtId="4" fontId="16" fillId="12" borderId="1" xfId="0" applyNumberFormat="1" applyFont="1" applyFill="1" applyBorder="1" applyAlignment="1">
      <alignment horizontal="center" vertical="center" wrapText="1"/>
    </xf>
    <xf numFmtId="0" fontId="3" fillId="13" borderId="1" xfId="0" applyFont="1" applyFill="1" applyBorder="1" applyAlignment="1">
      <alignment horizontal="center" vertical="center" wrapText="1"/>
    </xf>
    <xf numFmtId="4" fontId="4" fillId="4" borderId="1" xfId="0" applyNumberFormat="1" applyFont="1" applyFill="1" applyBorder="1" applyAlignment="1">
      <alignment horizontal="center" vertical="center" wrapText="1"/>
    </xf>
    <xf numFmtId="4" fontId="4" fillId="3" borderId="1" xfId="0" applyNumberFormat="1" applyFont="1" applyFill="1" applyBorder="1" applyAlignment="1">
      <alignment horizontal="center" vertical="center" wrapText="1"/>
    </xf>
    <xf numFmtId="0" fontId="3" fillId="14" borderId="1" xfId="0" applyFont="1" applyFill="1" applyBorder="1" applyAlignment="1">
      <alignment horizontal="center" vertical="center" wrapText="1"/>
    </xf>
    <xf numFmtId="0" fontId="4" fillId="10" borderId="1" xfId="0" applyFont="1" applyFill="1" applyBorder="1" applyAlignment="1">
      <alignment horizontal="left" vertical="center"/>
    </xf>
    <xf numFmtId="3" fontId="4" fillId="3" borderId="2" xfId="0" applyNumberFormat="1" applyFont="1" applyFill="1" applyBorder="1" applyAlignment="1">
      <alignment horizontal="center" vertical="center" wrapText="1"/>
    </xf>
    <xf numFmtId="0" fontId="17" fillId="9" borderId="0" xfId="0" applyFont="1" applyFill="1" applyAlignment="1">
      <alignment horizontal="left" vertical="center" wrapText="1"/>
    </xf>
    <xf numFmtId="3" fontId="0" fillId="0" borderId="0" xfId="0" applyNumberFormat="1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BA7517"/>
      <rgbColor rgb="FF800080"/>
      <rgbColor rgb="FF008080"/>
      <rgbColor rgb="FFD3D1C7"/>
      <rgbColor rgb="FF808080"/>
      <rgbColor rgb="FF9999FF"/>
      <rgbColor rgb="FF993366"/>
      <rgbColor rgb="FFFAEEDA"/>
      <rgbColor rgb="FFE1F5EE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EEDFE"/>
      <rgbColor rgb="FFF1EFE8"/>
      <rgbColor rgb="FFFAECE7"/>
      <rgbColor rgb="FF99CCFF"/>
      <rgbColor rgb="FFFF99CC"/>
      <rgbColor rgb="FFCC99FF"/>
      <rgbColor rgb="FFFFCC99"/>
      <rgbColor rgb="FF534AB7"/>
      <rgbColor rgb="FF33CCCC"/>
      <rgbColor rgb="FF99CC00"/>
      <rgbColor rgb="FFFFCC00"/>
      <rgbColor rgb="FFFF9900"/>
      <rgbColor rgb="FFFF6600"/>
      <rgbColor rgb="FF5F5E5A"/>
      <rgbColor rgb="FF969696"/>
      <rgbColor rgb="FF085041"/>
      <rgbColor rgb="FF1D9E75"/>
      <rgbColor rgb="FF003300"/>
      <rgbColor rgb="FF633806"/>
      <rgbColor rgb="FF712B13"/>
      <rgbColor rgb="FF993366"/>
      <rgbColor rgb="FF3C348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OUTPUT</a:t>
            </a:r>
            <a:r>
              <a:rPr lang="en-US" baseline="0"/>
              <a:t> VS TARGET PER MESIN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'8.Soal_1_4_Dashboard'!$F$8</c:f>
              <c:strCache>
                <c:ptCount val="1"/>
                <c:pt idx="0">
                  <c:v>Total Output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'8.Soal_1_4_Dashboard'!$E$9:$E$11</c:f>
              <c:strCache>
                <c:ptCount val="3"/>
                <c:pt idx="0">
                  <c:v>M-01</c:v>
                </c:pt>
                <c:pt idx="1">
                  <c:v>M-02</c:v>
                </c:pt>
                <c:pt idx="2">
                  <c:v>M-03</c:v>
                </c:pt>
              </c:strCache>
            </c:strRef>
          </c:cat>
          <c:val>
            <c:numRef>
              <c:f>'8.Soal_1_4_Dashboard'!$F$9:$F$11</c:f>
              <c:numCache>
                <c:formatCode>#,##0</c:formatCode>
                <c:ptCount val="3"/>
                <c:pt idx="0">
                  <c:v>24212</c:v>
                </c:pt>
                <c:pt idx="1">
                  <c:v>13065</c:v>
                </c:pt>
                <c:pt idx="2">
                  <c:v>30018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3E6-481D-938D-722EC9317C71}"/>
            </c:ext>
          </c:extLst>
        </c:ser>
        <c:ser>
          <c:idx val="1"/>
          <c:order val="1"/>
          <c:tx>
            <c:strRef>
              <c:f>'8.Soal_1_4_Dashboard'!$G$8</c:f>
              <c:strCache>
                <c:ptCount val="1"/>
                <c:pt idx="0">
                  <c:v>Total Target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'8.Soal_1_4_Dashboard'!$E$9:$E$11</c:f>
              <c:strCache>
                <c:ptCount val="3"/>
                <c:pt idx="0">
                  <c:v>M-01</c:v>
                </c:pt>
                <c:pt idx="1">
                  <c:v>M-02</c:v>
                </c:pt>
                <c:pt idx="2">
                  <c:v>M-03</c:v>
                </c:pt>
              </c:strCache>
            </c:strRef>
          </c:cat>
          <c:val>
            <c:numRef>
              <c:f>'8.Soal_1_4_Dashboard'!$G$9:$G$11</c:f>
              <c:numCache>
                <c:formatCode>#,##0</c:formatCode>
                <c:ptCount val="3"/>
                <c:pt idx="0">
                  <c:v>24960</c:v>
                </c:pt>
                <c:pt idx="1">
                  <c:v>15600</c:v>
                </c:pt>
                <c:pt idx="2">
                  <c:v>31200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3E6-481D-938D-722EC9317C71}"/>
            </c:ext>
          </c:extLst>
        </c:ser>
        <c:ser>
          <c:idx val="2"/>
          <c:order val="2"/>
          <c:tx>
            <c:strRef>
              <c:f>'8.Soal_1_4_Dashboard'!$H$8</c:f>
              <c:strCache>
                <c:ptCount val="1"/>
                <c:pt idx="0">
                  <c:v>Achievement (%)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'8.Soal_1_4_Dashboard'!$E$9:$E$11</c:f>
              <c:strCache>
                <c:ptCount val="3"/>
                <c:pt idx="0">
                  <c:v>M-01</c:v>
                </c:pt>
                <c:pt idx="1">
                  <c:v>M-02</c:v>
                </c:pt>
                <c:pt idx="2">
                  <c:v>M-03</c:v>
                </c:pt>
              </c:strCache>
            </c:strRef>
          </c:cat>
          <c:val>
            <c:numRef>
              <c:f>'8.Soal_1_4_Dashboard'!$H$9:$H$11</c:f>
              <c:numCache>
                <c:formatCode>#,##0.0</c:formatCode>
                <c:ptCount val="3"/>
                <c:pt idx="0">
                  <c:v>97</c:v>
                </c:pt>
                <c:pt idx="1">
                  <c:v>83.8</c:v>
                </c:pt>
                <c:pt idx="2">
                  <c:v>96.2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3E6-481D-938D-722EC9317C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678544000"/>
        <c:axId val="678543640"/>
      </c:barChart>
      <c:catAx>
        <c:axId val="67854400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8543640"/>
        <c:crosses val="autoZero"/>
        <c:auto val="1"/>
        <c:lblAlgn val="ctr"/>
        <c:lblOffset val="100"/>
        <c:noMultiLvlLbl val="0"/>
      </c:catAx>
      <c:valAx>
        <c:axId val="6785436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85440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REJECT</a:t>
            </a:r>
            <a:r>
              <a:rPr lang="en-US" baseline="0"/>
              <a:t> RATE PER MESIN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'8.Soal_1_4_Dashboard'!$E$15</c:f>
              <c:strCache>
                <c:ptCount val="1"/>
                <c:pt idx="0">
                  <c:v>M-01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'8.Soal_1_4_Dashboard'!$F$14:$H$14</c:f>
              <c:strCache>
                <c:ptCount val="3"/>
                <c:pt idx="0">
                  <c:v>Total Reject</c:v>
                </c:pt>
                <c:pt idx="1">
                  <c:v>Total Output</c:v>
                </c:pt>
                <c:pt idx="2">
                  <c:v>Reject Rate (%)</c:v>
                </c:pt>
              </c:strCache>
            </c:strRef>
          </c:cat>
          <c:val>
            <c:numRef>
              <c:f>'8.Soal_1_4_Dashboard'!$F$15:$H$15</c:f>
              <c:numCache>
                <c:formatCode>#,##0</c:formatCode>
                <c:ptCount val="3"/>
                <c:pt idx="0">
                  <c:v>253</c:v>
                </c:pt>
                <c:pt idx="1">
                  <c:v>24212</c:v>
                </c:pt>
                <c:pt idx="2" formatCode="#,##0.00">
                  <c:v>1.04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1EF-4CEE-938D-97BE53581CEB}"/>
            </c:ext>
          </c:extLst>
        </c:ser>
        <c:ser>
          <c:idx val="1"/>
          <c:order val="1"/>
          <c:tx>
            <c:strRef>
              <c:f>'8.Soal_1_4_Dashboard'!$E$16</c:f>
              <c:strCache>
                <c:ptCount val="1"/>
                <c:pt idx="0">
                  <c:v>M-02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'8.Soal_1_4_Dashboard'!$F$14:$H$14</c:f>
              <c:strCache>
                <c:ptCount val="3"/>
                <c:pt idx="0">
                  <c:v>Total Reject</c:v>
                </c:pt>
                <c:pt idx="1">
                  <c:v>Total Output</c:v>
                </c:pt>
                <c:pt idx="2">
                  <c:v>Reject Rate (%)</c:v>
                </c:pt>
              </c:strCache>
            </c:strRef>
          </c:cat>
          <c:val>
            <c:numRef>
              <c:f>'8.Soal_1_4_Dashboard'!$F$16:$H$16</c:f>
              <c:numCache>
                <c:formatCode>#,##0</c:formatCode>
                <c:ptCount val="3"/>
                <c:pt idx="0">
                  <c:v>686</c:v>
                </c:pt>
                <c:pt idx="1">
                  <c:v>13065</c:v>
                </c:pt>
                <c:pt idx="2" formatCode="#,##0.00">
                  <c:v>5.25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1EF-4CEE-938D-97BE53581CEB}"/>
            </c:ext>
          </c:extLst>
        </c:ser>
        <c:ser>
          <c:idx val="2"/>
          <c:order val="2"/>
          <c:tx>
            <c:strRef>
              <c:f>'8.Soal_1_4_Dashboard'!$E$17</c:f>
              <c:strCache>
                <c:ptCount val="1"/>
                <c:pt idx="0">
                  <c:v>M-03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'8.Soal_1_4_Dashboard'!$F$14:$H$14</c:f>
              <c:strCache>
                <c:ptCount val="3"/>
                <c:pt idx="0">
                  <c:v>Total Reject</c:v>
                </c:pt>
                <c:pt idx="1">
                  <c:v>Total Output</c:v>
                </c:pt>
                <c:pt idx="2">
                  <c:v>Reject Rate (%)</c:v>
                </c:pt>
              </c:strCache>
            </c:strRef>
          </c:cat>
          <c:val>
            <c:numRef>
              <c:f>'8.Soal_1_4_Dashboard'!$F$17:$H$17</c:f>
              <c:numCache>
                <c:formatCode>#,##0</c:formatCode>
                <c:ptCount val="3"/>
                <c:pt idx="0">
                  <c:v>338</c:v>
                </c:pt>
                <c:pt idx="1">
                  <c:v>30018</c:v>
                </c:pt>
                <c:pt idx="2" formatCode="#,##0.00">
                  <c:v>1.1299999999999999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1EF-4CEE-938D-97BE53581C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82828496"/>
        <c:axId val="682827416"/>
      </c:lineChart>
      <c:catAx>
        <c:axId val="6828284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2827416"/>
        <c:crosses val="autoZero"/>
        <c:auto val="1"/>
        <c:lblAlgn val="ctr"/>
        <c:lblOffset val="100"/>
        <c:noMultiLvlLbl val="0"/>
      </c:catAx>
      <c:valAx>
        <c:axId val="6828274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28284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PENYEBAB</a:t>
            </a:r>
            <a:r>
              <a:rPr lang="en-US" baseline="0"/>
              <a:t> DOWNTIME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'8.Soal_1_4_Dashboard'!$F$20</c:f>
              <c:strCache>
                <c:ptCount val="1"/>
                <c:pt idx="0">
                  <c:v>Total Durasi (menit)</c:v>
                </c:pt>
              </c:strCache>
            </c:strRef>
          </c:tx>
          <c:dPt>
            <c:idx val="0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'8.Soal_1_4_Dashboard'!$E$21:$E$26</c:f>
              <c:strCache>
                <c:ptCount val="6"/>
                <c:pt idx="0">
                  <c:v>Kebocoran oli</c:v>
                </c:pt>
                <c:pt idx="1">
                  <c:v>Kerusakan tooling</c:v>
                </c:pt>
                <c:pt idx="2">
                  <c:v>Overheating</c:v>
                </c:pt>
                <c:pt idx="3">
                  <c:v>Penggantian die</c:v>
                </c:pt>
                <c:pt idx="4">
                  <c:v>Penyetelan mesin</c:v>
                </c:pt>
                <c:pt idx="5">
                  <c:v>Perawatan rutin</c:v>
                </c:pt>
              </c:strCache>
            </c:strRef>
          </c:cat>
          <c:val>
            <c:numRef>
              <c:f>'8.Soal_1_4_Dashboard'!$F$21:$F$26</c:f>
              <c:numCache>
                <c:formatCode>#,##0</c:formatCode>
                <c:ptCount val="6"/>
                <c:pt idx="0">
                  <c:v>120</c:v>
                </c:pt>
                <c:pt idx="1">
                  <c:v>690</c:v>
                </c:pt>
                <c:pt idx="2">
                  <c:v>420</c:v>
                </c:pt>
                <c:pt idx="3">
                  <c:v>330</c:v>
                </c:pt>
                <c:pt idx="4">
                  <c:v>240</c:v>
                </c:pt>
                <c:pt idx="5">
                  <c:v>120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2C8-4874-864C-4B09CFE594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extLst>
          <c:ext xmlns:c15="http://schemas.microsoft.com/office/drawing/2012/chart" uri="{02D57815-91ED-43cb-92C2-25804820EDAC}">
            <c15:filteredPi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'8.Soal_1_4_Dashboard'!$G$20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6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1"/>
                  <c:bubble3D val="0"/>
                  <c:spPr>
                    <a:solidFill>
                      <a:schemeClr val="accent5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2"/>
                  <c:bubble3D val="0"/>
                  <c:spPr>
                    <a:solidFill>
                      <a:schemeClr val="accent4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3"/>
                  <c:bubble3D val="0"/>
                  <c:spPr>
                    <a:solidFill>
                      <a:schemeClr val="accent6">
                        <a:lumMod val="60000"/>
                      </a:schemeClr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4"/>
                  <c:bubble3D val="0"/>
                  <c:spPr>
                    <a:solidFill>
                      <a:schemeClr val="accent5">
                        <a:lumMod val="60000"/>
                      </a:schemeClr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5"/>
                  <c:bubble3D val="0"/>
                  <c:spPr>
                    <a:solidFill>
                      <a:schemeClr val="accent4">
                        <a:lumMod val="60000"/>
                      </a:schemeClr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cat>
                  <c:strRef>
                    <c:extLst>
                      <c:ext uri="{02D57815-91ED-43cb-92C2-25804820EDAC}">
                        <c15:formulaRef>
                          <c15:sqref>'8.Soal_1_4_Dashboard'!$E$21:$E$26</c15:sqref>
                        </c15:formulaRef>
                      </c:ext>
                    </c:extLst>
                    <c:strCache>
                      <c:ptCount val="6"/>
                      <c:pt idx="0">
                        <c:v>Kebocoran oli</c:v>
                      </c:pt>
                      <c:pt idx="1">
                        <c:v>Kerusakan tooling</c:v>
                      </c:pt>
                      <c:pt idx="2">
                        <c:v>Overheating</c:v>
                      </c:pt>
                      <c:pt idx="3">
                        <c:v>Penggantian die</c:v>
                      </c:pt>
                      <c:pt idx="4">
                        <c:v>Penyetelan mesin</c:v>
                      </c:pt>
                      <c:pt idx="5">
                        <c:v>Perawatan rutin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'8.Soal_1_4_Dashboard'!$G$21:$G$26</c15:sqref>
                        </c15:formulaRef>
                      </c:ext>
                    </c:extLst>
                    <c:numCache>
                      <c:formatCode>#,##0</c:formatCode>
                      <c:ptCount val="6"/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1-D2C8-4874-864C-4B09CFE594AD}"/>
                  </c:ext>
                </c:extLst>
              </c15:ser>
            </c15:filteredPieSeries>
            <c15:filteredPieSeries>
              <c15:ser>
                <c:idx val="2"/>
                <c:order val="2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'8.Soal_1_4_Dashboard'!$H$20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6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1"/>
                  <c:bubble3D val="0"/>
                  <c:spPr>
                    <a:solidFill>
                      <a:schemeClr val="accent5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2"/>
                  <c:bubble3D val="0"/>
                  <c:spPr>
                    <a:solidFill>
                      <a:schemeClr val="accent4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3"/>
                  <c:bubble3D val="0"/>
                  <c:spPr>
                    <a:solidFill>
                      <a:schemeClr val="accent6">
                        <a:lumMod val="60000"/>
                      </a:schemeClr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4"/>
                  <c:bubble3D val="0"/>
                  <c:spPr>
                    <a:solidFill>
                      <a:schemeClr val="accent5">
                        <a:lumMod val="60000"/>
                      </a:schemeClr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5"/>
                  <c:bubble3D val="0"/>
                  <c:spPr>
                    <a:solidFill>
                      <a:schemeClr val="accent4">
                        <a:lumMod val="60000"/>
                      </a:schemeClr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'8.Soal_1_4_Dashboard'!$E$21:$E$26</c15:sqref>
                        </c15:formulaRef>
                      </c:ext>
                    </c:extLst>
                    <c:strCache>
                      <c:ptCount val="6"/>
                      <c:pt idx="0">
                        <c:v>Kebocoran oli</c:v>
                      </c:pt>
                      <c:pt idx="1">
                        <c:v>Kerusakan tooling</c:v>
                      </c:pt>
                      <c:pt idx="2">
                        <c:v>Overheating</c:v>
                      </c:pt>
                      <c:pt idx="3">
                        <c:v>Penggantian die</c:v>
                      </c:pt>
                      <c:pt idx="4">
                        <c:v>Penyetelan mesin</c:v>
                      </c:pt>
                      <c:pt idx="5">
                        <c:v>Perawatan rutin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'8.Soal_1_4_Dashboard'!$H$21:$H$26</c15:sqref>
                        </c15:formulaRef>
                      </c:ext>
                    </c:extLst>
                    <c:numCache>
                      <c:formatCode>#,##0</c:formatCode>
                      <c:ptCount val="6"/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2-D2C8-4874-864C-4B09CFE594AD}"/>
                  </c:ext>
                </c:extLst>
              </c15:ser>
            </c15:filteredPieSeries>
          </c:ext>
        </c:extLst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295275</xdr:colOff>
      <xdr:row>5</xdr:row>
      <xdr:rowOff>119063</xdr:rowOff>
    </xdr:from>
    <xdr:to>
      <xdr:col>17</xdr:col>
      <xdr:colOff>276225</xdr:colOff>
      <xdr:row>25</xdr:row>
      <xdr:rowOff>133350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4102101D-EF0E-A220-2089-93726834E6A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17</xdr:col>
      <xdr:colOff>403745</xdr:colOff>
      <xdr:row>5</xdr:row>
      <xdr:rowOff>112593</xdr:rowOff>
    </xdr:from>
    <xdr:to>
      <xdr:col>27</xdr:col>
      <xdr:colOff>125104</xdr:colOff>
      <xdr:row>25</xdr:row>
      <xdr:rowOff>147850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20D27315-95F4-6548-C657-85D11DBEC7B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27</xdr:col>
      <xdr:colOff>304292</xdr:colOff>
      <xdr:row>5</xdr:row>
      <xdr:rowOff>102914</xdr:rowOff>
    </xdr:from>
    <xdr:to>
      <xdr:col>37</xdr:col>
      <xdr:colOff>48638</xdr:colOff>
      <xdr:row>25</xdr:row>
      <xdr:rowOff>145915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39B62896-5C07-241A-8001-15755033469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istrator" refreshedDate="46246.562703819443" createdVersion="8" refreshedVersion="8" minRefreshableVersion="3" recordCount="27" xr:uid="{58511A67-E11D-4C58-B4E1-9FCB670C861D}">
  <cacheSource type="worksheet">
    <worksheetSource ref="A1:F28" sheet="3.Data_Downtime"/>
  </cacheSource>
  <cacheFields count="6">
    <cacheField name="tanggal" numFmtId="0">
      <sharedItems/>
    </cacheField>
    <cacheField name="mesin_id" numFmtId="0">
      <sharedItems count="3">
        <s v="M-03"/>
        <s v="M-02"/>
        <s v="M-01"/>
      </sharedItems>
    </cacheField>
    <cacheField name="durasi_menit" numFmtId="0">
      <sharedItems containsSemiMixedTypes="0" containsString="0" containsNumber="1" containsInteger="1" minValue="30" maxValue="150"/>
    </cacheField>
    <cacheField name="penyebab" numFmtId="0">
      <sharedItems/>
    </cacheField>
    <cacheField name="key" numFmtId="0">
      <sharedItems/>
    </cacheField>
    <cacheField name="durasi_ref" numFmtId="0">
      <sharedItems containsSemiMixedTypes="0" containsString="0" containsNumber="1" containsInteger="1" minValue="30" maxValue="15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7">
  <r>
    <s v="2024-01-03"/>
    <x v="0"/>
    <n v="60"/>
    <s v="Penyetelan mesin"/>
    <s v="2024-01-03M-03"/>
    <n v="60"/>
  </r>
  <r>
    <s v="2024-01-05"/>
    <x v="1"/>
    <n v="60"/>
    <s v="Overheating"/>
    <s v="2024-01-05M-02"/>
    <n v="60"/>
  </r>
  <r>
    <s v="2024-01-06"/>
    <x v="1"/>
    <n v="60"/>
    <s v="Overheating"/>
    <s v="2024-01-06M-02"/>
    <n v="60"/>
  </r>
  <r>
    <s v="2024-01-06"/>
    <x v="0"/>
    <n v="60"/>
    <s v="Kebocoran oli"/>
    <s v="2024-01-06M-03"/>
    <n v="60"/>
  </r>
  <r>
    <s v="2024-01-09"/>
    <x v="1"/>
    <n v="120"/>
    <s v="Kerusakan tooling"/>
    <s v="2024-01-09M-02"/>
    <n v="120"/>
  </r>
  <r>
    <s v="2024-01-10"/>
    <x v="2"/>
    <n v="45"/>
    <s v="Penyetelan mesin"/>
    <s v="2024-01-10M-01"/>
    <n v="45"/>
  </r>
  <r>
    <s v="2024-01-10"/>
    <x v="1"/>
    <n v="150"/>
    <s v="Kerusakan tooling"/>
    <s v="2024-01-10M-02"/>
    <n v="150"/>
  </r>
  <r>
    <s v="2024-01-12"/>
    <x v="1"/>
    <n v="150"/>
    <s v="Overheating"/>
    <s v="2024-01-12M-02"/>
    <n v="150"/>
  </r>
  <r>
    <s v="2024-01-13"/>
    <x v="2"/>
    <n v="30"/>
    <s v="Perawatan rutin"/>
    <s v="2024-01-13M-01"/>
    <n v="30"/>
  </r>
  <r>
    <s v="2024-01-13"/>
    <x v="1"/>
    <n v="45"/>
    <s v="Kerusakan tooling"/>
    <s v="2024-01-13M-02"/>
    <n v="45"/>
  </r>
  <r>
    <s v="2024-01-13"/>
    <x v="0"/>
    <n v="30"/>
    <s v="Perawatan rutin"/>
    <s v="2024-01-13M-03"/>
    <n v="30"/>
  </r>
  <r>
    <s v="2024-01-16"/>
    <x v="1"/>
    <n v="150"/>
    <s v="Overheating"/>
    <s v="2024-01-16M-02"/>
    <n v="150"/>
  </r>
  <r>
    <s v="2024-01-17"/>
    <x v="1"/>
    <n v="150"/>
    <s v="Kerusakan tooling"/>
    <s v="2024-01-17M-02"/>
    <n v="150"/>
  </r>
  <r>
    <s v="2024-01-19"/>
    <x v="2"/>
    <n v="60"/>
    <s v="Penggantian die"/>
    <s v="2024-01-19M-01"/>
    <n v="60"/>
  </r>
  <r>
    <s v="2024-01-19"/>
    <x v="1"/>
    <n v="30"/>
    <s v="Penggantian die"/>
    <s v="2024-01-19M-02"/>
    <n v="30"/>
  </r>
  <r>
    <s v="2024-01-19"/>
    <x v="0"/>
    <n v="60"/>
    <s v="Kebocoran oli"/>
    <s v="2024-01-19M-03"/>
    <n v="60"/>
  </r>
  <r>
    <s v="2024-01-20"/>
    <x v="1"/>
    <n v="60"/>
    <s v="Penggantian die"/>
    <s v="2024-01-20M-02"/>
    <n v="60"/>
  </r>
  <r>
    <s v="2024-01-22"/>
    <x v="1"/>
    <n v="120"/>
    <s v="Penggantian die"/>
    <s v="2024-01-22M-02"/>
    <n v="120"/>
  </r>
  <r>
    <s v="2024-01-23"/>
    <x v="1"/>
    <n v="60"/>
    <s v="Kerusakan tooling"/>
    <s v="2024-01-23M-02"/>
    <n v="60"/>
  </r>
  <r>
    <s v="2024-01-24"/>
    <x v="2"/>
    <n v="60"/>
    <s v="Perawatan rutin"/>
    <s v="2024-01-24M-01"/>
    <n v="60"/>
  </r>
  <r>
    <s v="2024-01-24"/>
    <x v="1"/>
    <n v="90"/>
    <s v="Kerusakan tooling"/>
    <s v="2024-01-24M-02"/>
    <n v="90"/>
  </r>
  <r>
    <s v="2024-01-25"/>
    <x v="2"/>
    <n v="45"/>
    <s v="Penyetelan mesin"/>
    <s v="2024-01-25M-01"/>
    <n v="45"/>
  </r>
  <r>
    <s v="2024-01-25"/>
    <x v="0"/>
    <n v="30"/>
    <s v="Penyetelan mesin"/>
    <s v="2024-01-25M-03"/>
    <n v="30"/>
  </r>
  <r>
    <s v="2024-01-26"/>
    <x v="1"/>
    <n v="45"/>
    <s v="Kerusakan tooling"/>
    <s v="2024-01-26M-02"/>
    <n v="45"/>
  </r>
  <r>
    <s v="2024-01-27"/>
    <x v="1"/>
    <n v="30"/>
    <s v="Kerusakan tooling"/>
    <s v="2024-01-27M-02"/>
    <n v="30"/>
  </r>
  <r>
    <s v="2024-01-30"/>
    <x v="2"/>
    <n v="60"/>
    <s v="Penyetelan mesin"/>
    <s v="2024-01-30M-01"/>
    <n v="60"/>
  </r>
  <r>
    <s v="2024-01-30"/>
    <x v="1"/>
    <n v="60"/>
    <s v="Penggantian die"/>
    <s v="2024-01-30M-02"/>
    <n v="6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210D72A-A361-475C-8750-07183A01525B}" name="PivotTable2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G16:H20" firstHeaderRow="1" firstDataRow="1" firstDataCol="1"/>
  <pivotFields count="6">
    <pivotField showAll="0"/>
    <pivotField axis="axisRow" showAll="0">
      <items count="4">
        <item x="2"/>
        <item x="1"/>
        <item x="0"/>
        <item t="default"/>
      </items>
    </pivotField>
    <pivotField showAll="0"/>
    <pivotField showAll="0"/>
    <pivotField showAll="0"/>
    <pivotField dataField="1" showAll="0"/>
  </pivotFields>
  <rowFields count="1">
    <field x="1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durasi_ref" fld="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C13"/>
  <sheetViews>
    <sheetView showGridLines="0" zoomScaleNormal="100" workbookViewId="0"/>
  </sheetViews>
  <sheetFormatPr defaultColWidth="8.6640625" defaultRowHeight="14.4" x14ac:dyDescent="0.3"/>
  <cols>
    <col min="1" max="1" width="2" customWidth="1"/>
    <col min="2" max="2" width="28" customWidth="1"/>
    <col min="3" max="3" width="55" customWidth="1"/>
  </cols>
  <sheetData>
    <row r="2" spans="2:3" ht="30" customHeight="1" x14ac:dyDescent="0.3">
      <c r="B2" s="14" t="s">
        <v>0</v>
      </c>
      <c r="C2" s="14"/>
    </row>
    <row r="3" spans="2:3" x14ac:dyDescent="0.3">
      <c r="B3" s="13" t="s">
        <v>1</v>
      </c>
      <c r="C3" s="13"/>
    </row>
    <row r="4" spans="2:3" ht="7.5" customHeight="1" x14ac:dyDescent="0.3"/>
    <row r="5" spans="2:3" x14ac:dyDescent="0.3">
      <c r="B5" s="15" t="s">
        <v>2</v>
      </c>
      <c r="C5" s="15" t="s">
        <v>3</v>
      </c>
    </row>
    <row r="6" spans="2:3" x14ac:dyDescent="0.3">
      <c r="B6" s="16" t="s">
        <v>4</v>
      </c>
      <c r="C6" s="16" t="s">
        <v>5</v>
      </c>
    </row>
    <row r="7" spans="2:3" x14ac:dyDescent="0.3">
      <c r="B7" s="17" t="s">
        <v>6</v>
      </c>
      <c r="C7" s="17" t="s">
        <v>7</v>
      </c>
    </row>
    <row r="8" spans="2:3" x14ac:dyDescent="0.3">
      <c r="B8" s="16" t="s">
        <v>8</v>
      </c>
      <c r="C8" s="16" t="s">
        <v>9</v>
      </c>
    </row>
    <row r="9" spans="2:3" x14ac:dyDescent="0.3">
      <c r="B9" s="17" t="s">
        <v>10</v>
      </c>
      <c r="C9" s="17" t="s">
        <v>11</v>
      </c>
    </row>
    <row r="10" spans="2:3" x14ac:dyDescent="0.3">
      <c r="B10" s="16" t="s">
        <v>12</v>
      </c>
      <c r="C10" s="16" t="s">
        <v>13</v>
      </c>
    </row>
    <row r="11" spans="2:3" x14ac:dyDescent="0.3">
      <c r="B11" s="17" t="s">
        <v>14</v>
      </c>
      <c r="C11" s="17" t="s">
        <v>15</v>
      </c>
    </row>
    <row r="12" spans="2:3" x14ac:dyDescent="0.3">
      <c r="B12" s="16" t="s">
        <v>16</v>
      </c>
      <c r="C12" s="16" t="s">
        <v>17</v>
      </c>
    </row>
    <row r="13" spans="2:3" x14ac:dyDescent="0.3">
      <c r="B13" s="17" t="s">
        <v>18</v>
      </c>
      <c r="C13" s="17" t="s">
        <v>19</v>
      </c>
    </row>
  </sheetData>
  <mergeCells count="2">
    <mergeCell ref="B2:C2"/>
    <mergeCell ref="B3:C3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35"/>
  <sheetViews>
    <sheetView showGridLines="0" zoomScaleNormal="100" workbookViewId="0">
      <pane ySplit="1" topLeftCell="A2" activePane="bottomLeft" state="frozen"/>
      <selection pane="bottomLeft"/>
    </sheetView>
  </sheetViews>
  <sheetFormatPr defaultColWidth="8.6640625" defaultRowHeight="14.4" x14ac:dyDescent="0.3"/>
  <cols>
    <col min="1" max="1" width="13" customWidth="1"/>
    <col min="2" max="2" width="9" customWidth="1"/>
    <col min="3" max="3" width="10" customWidth="1"/>
    <col min="4" max="4" width="13" customWidth="1"/>
    <col min="5" max="5" width="15" customWidth="1"/>
    <col min="6" max="6" width="14" customWidth="1"/>
  </cols>
  <sheetData>
    <row r="1" spans="1:6" ht="27.6" x14ac:dyDescent="0.3">
      <c r="A1" s="18" t="s">
        <v>20</v>
      </c>
      <c r="B1" s="18" t="s">
        <v>21</v>
      </c>
      <c r="C1" s="18" t="s">
        <v>22</v>
      </c>
      <c r="D1" s="18" t="s">
        <v>23</v>
      </c>
      <c r="E1" s="18" t="s">
        <v>24</v>
      </c>
      <c r="F1" s="18" t="s">
        <v>25</v>
      </c>
    </row>
    <row r="2" spans="1:6" x14ac:dyDescent="0.3">
      <c r="A2" s="19" t="s">
        <v>26</v>
      </c>
      <c r="B2" s="19" t="s">
        <v>27</v>
      </c>
      <c r="C2" s="19" t="s">
        <v>28</v>
      </c>
      <c r="D2" s="19" t="s">
        <v>29</v>
      </c>
      <c r="E2" s="19">
        <v>316</v>
      </c>
      <c r="F2" s="19">
        <v>320</v>
      </c>
    </row>
    <row r="3" spans="1:6" x14ac:dyDescent="0.3">
      <c r="A3" s="20" t="s">
        <v>26</v>
      </c>
      <c r="B3" s="20" t="s">
        <v>30</v>
      </c>
      <c r="C3" s="20" t="s">
        <v>28</v>
      </c>
      <c r="D3" s="20" t="s">
        <v>29</v>
      </c>
      <c r="E3" s="20">
        <v>282</v>
      </c>
      <c r="F3" s="20">
        <v>320</v>
      </c>
    </row>
    <row r="4" spans="1:6" x14ac:dyDescent="0.3">
      <c r="A4" s="19" t="s">
        <v>26</v>
      </c>
      <c r="B4" s="19" t="s">
        <v>31</v>
      </c>
      <c r="C4" s="19" t="s">
        <v>28</v>
      </c>
      <c r="D4" s="19" t="s">
        <v>29</v>
      </c>
      <c r="E4" s="19">
        <v>296</v>
      </c>
      <c r="F4" s="19">
        <v>320</v>
      </c>
    </row>
    <row r="5" spans="1:6" x14ac:dyDescent="0.3">
      <c r="A5" s="20" t="s">
        <v>26</v>
      </c>
      <c r="B5" s="20" t="s">
        <v>27</v>
      </c>
      <c r="C5" s="20" t="s">
        <v>32</v>
      </c>
      <c r="D5" s="20" t="s">
        <v>33</v>
      </c>
      <c r="E5" s="20">
        <v>158</v>
      </c>
      <c r="F5" s="20">
        <v>200</v>
      </c>
    </row>
    <row r="6" spans="1:6" x14ac:dyDescent="0.3">
      <c r="A6" s="19" t="s">
        <v>26</v>
      </c>
      <c r="B6" s="19" t="s">
        <v>30</v>
      </c>
      <c r="C6" s="19" t="s">
        <v>32</v>
      </c>
      <c r="D6" s="19" t="s">
        <v>33</v>
      </c>
      <c r="E6" s="19">
        <v>179</v>
      </c>
      <c r="F6" s="19">
        <v>200</v>
      </c>
    </row>
    <row r="7" spans="1:6" x14ac:dyDescent="0.3">
      <c r="A7" s="20" t="s">
        <v>26</v>
      </c>
      <c r="B7" s="20" t="s">
        <v>31</v>
      </c>
      <c r="C7" s="20" t="s">
        <v>32</v>
      </c>
      <c r="D7" s="20" t="s">
        <v>33</v>
      </c>
      <c r="E7" s="20">
        <v>177</v>
      </c>
      <c r="F7" s="20">
        <v>200</v>
      </c>
    </row>
    <row r="8" spans="1:6" x14ac:dyDescent="0.3">
      <c r="A8" s="19" t="s">
        <v>26</v>
      </c>
      <c r="B8" s="19" t="s">
        <v>27</v>
      </c>
      <c r="C8" s="19" t="s">
        <v>34</v>
      </c>
      <c r="D8" s="19" t="s">
        <v>35</v>
      </c>
      <c r="E8" s="19">
        <v>412</v>
      </c>
      <c r="F8" s="19">
        <v>400</v>
      </c>
    </row>
    <row r="9" spans="1:6" x14ac:dyDescent="0.3">
      <c r="A9" s="20" t="s">
        <v>26</v>
      </c>
      <c r="B9" s="20" t="s">
        <v>30</v>
      </c>
      <c r="C9" s="20" t="s">
        <v>34</v>
      </c>
      <c r="D9" s="20" t="s">
        <v>35</v>
      </c>
      <c r="E9" s="20">
        <v>357</v>
      </c>
      <c r="F9" s="20">
        <v>400</v>
      </c>
    </row>
    <row r="10" spans="1:6" x14ac:dyDescent="0.3">
      <c r="A10" s="19" t="s">
        <v>26</v>
      </c>
      <c r="B10" s="19" t="s">
        <v>31</v>
      </c>
      <c r="C10" s="19" t="s">
        <v>34</v>
      </c>
      <c r="D10" s="19" t="s">
        <v>35</v>
      </c>
      <c r="E10" s="19">
        <v>380</v>
      </c>
      <c r="F10" s="19">
        <v>400</v>
      </c>
    </row>
    <row r="11" spans="1:6" x14ac:dyDescent="0.3">
      <c r="A11" s="20" t="s">
        <v>36</v>
      </c>
      <c r="B11" s="20" t="s">
        <v>27</v>
      </c>
      <c r="C11" s="20" t="s">
        <v>28</v>
      </c>
      <c r="D11" s="20" t="s">
        <v>29</v>
      </c>
      <c r="E11" s="20">
        <v>283</v>
      </c>
      <c r="F11" s="20">
        <v>320</v>
      </c>
    </row>
    <row r="12" spans="1:6" x14ac:dyDescent="0.3">
      <c r="A12" s="19" t="s">
        <v>36</v>
      </c>
      <c r="B12" s="19" t="s">
        <v>30</v>
      </c>
      <c r="C12" s="19" t="s">
        <v>28</v>
      </c>
      <c r="D12" s="19" t="s">
        <v>29</v>
      </c>
      <c r="E12" s="19">
        <v>293</v>
      </c>
      <c r="F12" s="19">
        <v>320</v>
      </c>
    </row>
    <row r="13" spans="1:6" x14ac:dyDescent="0.3">
      <c r="A13" s="20" t="s">
        <v>36</v>
      </c>
      <c r="B13" s="20" t="s">
        <v>31</v>
      </c>
      <c r="C13" s="20" t="s">
        <v>28</v>
      </c>
      <c r="D13" s="20" t="s">
        <v>29</v>
      </c>
      <c r="E13" s="20">
        <v>309</v>
      </c>
      <c r="F13" s="20">
        <v>320</v>
      </c>
    </row>
    <row r="14" spans="1:6" x14ac:dyDescent="0.3">
      <c r="A14" s="19" t="s">
        <v>36</v>
      </c>
      <c r="B14" s="19" t="s">
        <v>27</v>
      </c>
      <c r="C14" s="19" t="s">
        <v>32</v>
      </c>
      <c r="D14" s="19" t="s">
        <v>33</v>
      </c>
      <c r="E14" s="19">
        <v>151</v>
      </c>
      <c r="F14" s="19">
        <v>200</v>
      </c>
    </row>
    <row r="15" spans="1:6" x14ac:dyDescent="0.3">
      <c r="A15" s="20" t="s">
        <v>36</v>
      </c>
      <c r="B15" s="20" t="s">
        <v>30</v>
      </c>
      <c r="C15" s="20" t="s">
        <v>32</v>
      </c>
      <c r="D15" s="20" t="s">
        <v>33</v>
      </c>
      <c r="E15" s="20">
        <v>157</v>
      </c>
      <c r="F15" s="20">
        <v>200</v>
      </c>
    </row>
    <row r="16" spans="1:6" x14ac:dyDescent="0.3">
      <c r="A16" s="19" t="s">
        <v>36</v>
      </c>
      <c r="B16" s="19" t="s">
        <v>31</v>
      </c>
      <c r="C16" s="19" t="s">
        <v>32</v>
      </c>
      <c r="D16" s="19" t="s">
        <v>33</v>
      </c>
      <c r="E16" s="19">
        <v>175</v>
      </c>
      <c r="F16" s="19">
        <v>200</v>
      </c>
    </row>
    <row r="17" spans="1:6" x14ac:dyDescent="0.3">
      <c r="A17" s="20" t="s">
        <v>36</v>
      </c>
      <c r="B17" s="20" t="s">
        <v>27</v>
      </c>
      <c r="C17" s="20" t="s">
        <v>34</v>
      </c>
      <c r="D17" s="20" t="s">
        <v>35</v>
      </c>
      <c r="E17" s="20">
        <v>389</v>
      </c>
      <c r="F17" s="20">
        <v>400</v>
      </c>
    </row>
    <row r="18" spans="1:6" x14ac:dyDescent="0.3">
      <c r="A18" s="19" t="s">
        <v>36</v>
      </c>
      <c r="B18" s="19" t="s">
        <v>30</v>
      </c>
      <c r="C18" s="19" t="s">
        <v>34</v>
      </c>
      <c r="D18" s="19" t="s">
        <v>35</v>
      </c>
      <c r="E18" s="19">
        <v>366</v>
      </c>
      <c r="F18" s="19">
        <v>400</v>
      </c>
    </row>
    <row r="19" spans="1:6" x14ac:dyDescent="0.3">
      <c r="A19" s="20" t="s">
        <v>36</v>
      </c>
      <c r="B19" s="20" t="s">
        <v>31</v>
      </c>
      <c r="C19" s="20" t="s">
        <v>34</v>
      </c>
      <c r="D19" s="20" t="s">
        <v>35</v>
      </c>
      <c r="E19" s="20">
        <v>392</v>
      </c>
      <c r="F19" s="20">
        <v>400</v>
      </c>
    </row>
    <row r="20" spans="1:6" x14ac:dyDescent="0.3">
      <c r="A20" s="19" t="s">
        <v>37</v>
      </c>
      <c r="B20" s="19" t="s">
        <v>27</v>
      </c>
      <c r="C20" s="19" t="s">
        <v>28</v>
      </c>
      <c r="D20" s="19" t="s">
        <v>29</v>
      </c>
      <c r="E20" s="19">
        <v>325</v>
      </c>
      <c r="F20" s="19">
        <v>320</v>
      </c>
    </row>
    <row r="21" spans="1:6" x14ac:dyDescent="0.3">
      <c r="A21" s="20" t="s">
        <v>37</v>
      </c>
      <c r="B21" s="20" t="s">
        <v>30</v>
      </c>
      <c r="C21" s="20" t="s">
        <v>28</v>
      </c>
      <c r="D21" s="20" t="s">
        <v>29</v>
      </c>
      <c r="E21" s="20">
        <v>281</v>
      </c>
      <c r="F21" s="20">
        <v>320</v>
      </c>
    </row>
    <row r="22" spans="1:6" x14ac:dyDescent="0.3">
      <c r="A22" s="19" t="s">
        <v>37</v>
      </c>
      <c r="B22" s="19" t="s">
        <v>31</v>
      </c>
      <c r="C22" s="19" t="s">
        <v>28</v>
      </c>
      <c r="D22" s="19" t="s">
        <v>29</v>
      </c>
      <c r="E22" s="19">
        <v>325</v>
      </c>
      <c r="F22" s="19">
        <v>320</v>
      </c>
    </row>
    <row r="23" spans="1:6" x14ac:dyDescent="0.3">
      <c r="A23" s="20" t="s">
        <v>37</v>
      </c>
      <c r="B23" s="20" t="s">
        <v>27</v>
      </c>
      <c r="C23" s="20" t="s">
        <v>32</v>
      </c>
      <c r="D23" s="20" t="s">
        <v>33</v>
      </c>
      <c r="E23" s="20">
        <v>177</v>
      </c>
      <c r="F23" s="20">
        <v>200</v>
      </c>
    </row>
    <row r="24" spans="1:6" x14ac:dyDescent="0.3">
      <c r="A24" s="19" t="s">
        <v>37</v>
      </c>
      <c r="B24" s="19" t="s">
        <v>30</v>
      </c>
      <c r="C24" s="19" t="s">
        <v>32</v>
      </c>
      <c r="D24" s="19" t="s">
        <v>33</v>
      </c>
      <c r="E24" s="19">
        <v>163</v>
      </c>
      <c r="F24" s="19">
        <v>200</v>
      </c>
    </row>
    <row r="25" spans="1:6" x14ac:dyDescent="0.3">
      <c r="A25" s="20" t="s">
        <v>37</v>
      </c>
      <c r="B25" s="20" t="s">
        <v>31</v>
      </c>
      <c r="C25" s="20" t="s">
        <v>32</v>
      </c>
      <c r="D25" s="20" t="s">
        <v>33</v>
      </c>
      <c r="E25" s="20">
        <v>156</v>
      </c>
      <c r="F25" s="20">
        <v>200</v>
      </c>
    </row>
    <row r="26" spans="1:6" x14ac:dyDescent="0.3">
      <c r="A26" s="19" t="s">
        <v>37</v>
      </c>
      <c r="B26" s="19" t="s">
        <v>27</v>
      </c>
      <c r="C26" s="19" t="s">
        <v>34</v>
      </c>
      <c r="D26" s="19" t="s">
        <v>35</v>
      </c>
      <c r="E26" s="19">
        <v>417</v>
      </c>
      <c r="F26" s="19">
        <v>400</v>
      </c>
    </row>
    <row r="27" spans="1:6" x14ac:dyDescent="0.3">
      <c r="A27" s="20" t="s">
        <v>37</v>
      </c>
      <c r="B27" s="20" t="s">
        <v>30</v>
      </c>
      <c r="C27" s="20" t="s">
        <v>34</v>
      </c>
      <c r="D27" s="20" t="s">
        <v>35</v>
      </c>
      <c r="E27" s="20">
        <v>374</v>
      </c>
      <c r="F27" s="20">
        <v>400</v>
      </c>
    </row>
    <row r="28" spans="1:6" x14ac:dyDescent="0.3">
      <c r="A28" s="19" t="s">
        <v>37</v>
      </c>
      <c r="B28" s="19" t="s">
        <v>31</v>
      </c>
      <c r="C28" s="19" t="s">
        <v>34</v>
      </c>
      <c r="D28" s="19" t="s">
        <v>35</v>
      </c>
      <c r="E28" s="19">
        <v>358</v>
      </c>
      <c r="F28" s="19">
        <v>400</v>
      </c>
    </row>
    <row r="29" spans="1:6" x14ac:dyDescent="0.3">
      <c r="A29" s="20" t="s">
        <v>38</v>
      </c>
      <c r="B29" s="20" t="s">
        <v>27</v>
      </c>
      <c r="C29" s="20" t="s">
        <v>28</v>
      </c>
      <c r="D29" s="20" t="s">
        <v>29</v>
      </c>
      <c r="E29" s="20">
        <v>286</v>
      </c>
      <c r="F29" s="20">
        <v>320</v>
      </c>
    </row>
    <row r="30" spans="1:6" x14ac:dyDescent="0.3">
      <c r="A30" s="19" t="s">
        <v>38</v>
      </c>
      <c r="B30" s="19" t="s">
        <v>30</v>
      </c>
      <c r="C30" s="19" t="s">
        <v>28</v>
      </c>
      <c r="D30" s="19" t="s">
        <v>29</v>
      </c>
      <c r="E30" s="19">
        <v>327</v>
      </c>
      <c r="F30" s="19">
        <v>320</v>
      </c>
    </row>
    <row r="31" spans="1:6" x14ac:dyDescent="0.3">
      <c r="A31" s="20" t="s">
        <v>38</v>
      </c>
      <c r="B31" s="20" t="s">
        <v>31</v>
      </c>
      <c r="C31" s="20" t="s">
        <v>28</v>
      </c>
      <c r="D31" s="20" t="s">
        <v>29</v>
      </c>
      <c r="E31" s="20">
        <v>314</v>
      </c>
      <c r="F31" s="20">
        <v>320</v>
      </c>
    </row>
    <row r="32" spans="1:6" x14ac:dyDescent="0.3">
      <c r="A32" s="19" t="s">
        <v>38</v>
      </c>
      <c r="B32" s="19" t="s">
        <v>27</v>
      </c>
      <c r="C32" s="19" t="s">
        <v>32</v>
      </c>
      <c r="D32" s="19" t="s">
        <v>33</v>
      </c>
      <c r="E32" s="19">
        <v>182</v>
      </c>
      <c r="F32" s="19">
        <v>200</v>
      </c>
    </row>
    <row r="33" spans="1:6" x14ac:dyDescent="0.3">
      <c r="A33" s="20" t="s">
        <v>38</v>
      </c>
      <c r="B33" s="20" t="s">
        <v>30</v>
      </c>
      <c r="C33" s="20" t="s">
        <v>32</v>
      </c>
      <c r="D33" s="20" t="s">
        <v>33</v>
      </c>
      <c r="E33" s="20">
        <v>179</v>
      </c>
      <c r="F33" s="20">
        <v>200</v>
      </c>
    </row>
    <row r="34" spans="1:6" x14ac:dyDescent="0.3">
      <c r="A34" s="19" t="s">
        <v>38</v>
      </c>
      <c r="B34" s="19" t="s">
        <v>31</v>
      </c>
      <c r="C34" s="19" t="s">
        <v>32</v>
      </c>
      <c r="D34" s="19" t="s">
        <v>33</v>
      </c>
      <c r="E34" s="19">
        <v>171</v>
      </c>
      <c r="F34" s="19">
        <v>200</v>
      </c>
    </row>
    <row r="35" spans="1:6" x14ac:dyDescent="0.3">
      <c r="A35" s="20" t="s">
        <v>38</v>
      </c>
      <c r="B35" s="20" t="s">
        <v>27</v>
      </c>
      <c r="C35" s="20" t="s">
        <v>34</v>
      </c>
      <c r="D35" s="20" t="s">
        <v>35</v>
      </c>
      <c r="E35" s="20">
        <v>418</v>
      </c>
      <c r="F35" s="20">
        <v>400</v>
      </c>
    </row>
    <row r="36" spans="1:6" x14ac:dyDescent="0.3">
      <c r="A36" s="19" t="s">
        <v>38</v>
      </c>
      <c r="B36" s="19" t="s">
        <v>30</v>
      </c>
      <c r="C36" s="19" t="s">
        <v>34</v>
      </c>
      <c r="D36" s="19" t="s">
        <v>35</v>
      </c>
      <c r="E36" s="19">
        <v>377</v>
      </c>
      <c r="F36" s="19">
        <v>400</v>
      </c>
    </row>
    <row r="37" spans="1:6" x14ac:dyDescent="0.3">
      <c r="A37" s="20" t="s">
        <v>38</v>
      </c>
      <c r="B37" s="20" t="s">
        <v>31</v>
      </c>
      <c r="C37" s="20" t="s">
        <v>34</v>
      </c>
      <c r="D37" s="20" t="s">
        <v>35</v>
      </c>
      <c r="E37" s="20">
        <v>389</v>
      </c>
      <c r="F37" s="20">
        <v>400</v>
      </c>
    </row>
    <row r="38" spans="1:6" x14ac:dyDescent="0.3">
      <c r="A38" s="19" t="s">
        <v>39</v>
      </c>
      <c r="B38" s="19" t="s">
        <v>27</v>
      </c>
      <c r="C38" s="19" t="s">
        <v>28</v>
      </c>
      <c r="D38" s="19" t="s">
        <v>29</v>
      </c>
      <c r="E38" s="19">
        <v>326</v>
      </c>
      <c r="F38" s="19">
        <v>320</v>
      </c>
    </row>
    <row r="39" spans="1:6" x14ac:dyDescent="0.3">
      <c r="A39" s="20" t="s">
        <v>39</v>
      </c>
      <c r="B39" s="20" t="s">
        <v>30</v>
      </c>
      <c r="C39" s="20" t="s">
        <v>28</v>
      </c>
      <c r="D39" s="20" t="s">
        <v>29</v>
      </c>
      <c r="E39" s="20">
        <v>315</v>
      </c>
      <c r="F39" s="20">
        <v>320</v>
      </c>
    </row>
    <row r="40" spans="1:6" x14ac:dyDescent="0.3">
      <c r="A40" s="19" t="s">
        <v>39</v>
      </c>
      <c r="B40" s="19" t="s">
        <v>31</v>
      </c>
      <c r="C40" s="19" t="s">
        <v>28</v>
      </c>
      <c r="D40" s="19" t="s">
        <v>29</v>
      </c>
      <c r="E40" s="19">
        <v>328</v>
      </c>
      <c r="F40" s="19">
        <v>320</v>
      </c>
    </row>
    <row r="41" spans="1:6" x14ac:dyDescent="0.3">
      <c r="A41" s="20" t="s">
        <v>39</v>
      </c>
      <c r="B41" s="20" t="s">
        <v>27</v>
      </c>
      <c r="C41" s="20" t="s">
        <v>32</v>
      </c>
      <c r="D41" s="20" t="s">
        <v>33</v>
      </c>
      <c r="E41" s="20">
        <v>173</v>
      </c>
      <c r="F41" s="20">
        <v>200</v>
      </c>
    </row>
    <row r="42" spans="1:6" x14ac:dyDescent="0.3">
      <c r="A42" s="19" t="s">
        <v>39</v>
      </c>
      <c r="B42" s="19" t="s">
        <v>30</v>
      </c>
      <c r="C42" s="19" t="s">
        <v>32</v>
      </c>
      <c r="D42" s="19" t="s">
        <v>33</v>
      </c>
      <c r="E42" s="19">
        <v>178</v>
      </c>
      <c r="F42" s="19">
        <v>200</v>
      </c>
    </row>
    <row r="43" spans="1:6" x14ac:dyDescent="0.3">
      <c r="A43" s="20" t="s">
        <v>39</v>
      </c>
      <c r="B43" s="20" t="s">
        <v>31</v>
      </c>
      <c r="C43" s="20" t="s">
        <v>32</v>
      </c>
      <c r="D43" s="20" t="s">
        <v>33</v>
      </c>
      <c r="E43" s="20">
        <v>151</v>
      </c>
      <c r="F43" s="20">
        <v>200</v>
      </c>
    </row>
    <row r="44" spans="1:6" x14ac:dyDescent="0.3">
      <c r="A44" s="19" t="s">
        <v>39</v>
      </c>
      <c r="B44" s="19" t="s">
        <v>27</v>
      </c>
      <c r="C44" s="19" t="s">
        <v>34</v>
      </c>
      <c r="D44" s="19" t="s">
        <v>35</v>
      </c>
      <c r="E44" s="19">
        <v>367</v>
      </c>
      <c r="F44" s="19">
        <v>400</v>
      </c>
    </row>
    <row r="45" spans="1:6" x14ac:dyDescent="0.3">
      <c r="A45" s="20" t="s">
        <v>39</v>
      </c>
      <c r="B45" s="20" t="s">
        <v>30</v>
      </c>
      <c r="C45" s="20" t="s">
        <v>34</v>
      </c>
      <c r="D45" s="20" t="s">
        <v>35</v>
      </c>
      <c r="E45" s="20">
        <v>371</v>
      </c>
      <c r="F45" s="20">
        <v>400</v>
      </c>
    </row>
    <row r="46" spans="1:6" x14ac:dyDescent="0.3">
      <c r="A46" s="19" t="s">
        <v>39</v>
      </c>
      <c r="B46" s="19" t="s">
        <v>31</v>
      </c>
      <c r="C46" s="19" t="s">
        <v>34</v>
      </c>
      <c r="D46" s="19" t="s">
        <v>35</v>
      </c>
      <c r="E46" s="19">
        <v>357</v>
      </c>
      <c r="F46" s="19">
        <v>400</v>
      </c>
    </row>
    <row r="47" spans="1:6" x14ac:dyDescent="0.3">
      <c r="A47" s="20" t="s">
        <v>40</v>
      </c>
      <c r="B47" s="20" t="s">
        <v>27</v>
      </c>
      <c r="C47" s="20" t="s">
        <v>28</v>
      </c>
      <c r="D47" s="20" t="s">
        <v>29</v>
      </c>
      <c r="E47" s="20">
        <v>294</v>
      </c>
      <c r="F47" s="20">
        <v>320</v>
      </c>
    </row>
    <row r="48" spans="1:6" x14ac:dyDescent="0.3">
      <c r="A48" s="19" t="s">
        <v>40</v>
      </c>
      <c r="B48" s="19" t="s">
        <v>30</v>
      </c>
      <c r="C48" s="19" t="s">
        <v>28</v>
      </c>
      <c r="D48" s="19" t="s">
        <v>29</v>
      </c>
      <c r="E48" s="19">
        <v>287</v>
      </c>
      <c r="F48" s="19">
        <v>320</v>
      </c>
    </row>
    <row r="49" spans="1:6" x14ac:dyDescent="0.3">
      <c r="A49" s="20" t="s">
        <v>40</v>
      </c>
      <c r="B49" s="20" t="s">
        <v>31</v>
      </c>
      <c r="C49" s="20" t="s">
        <v>28</v>
      </c>
      <c r="D49" s="20" t="s">
        <v>29</v>
      </c>
      <c r="E49" s="20">
        <v>296</v>
      </c>
      <c r="F49" s="20">
        <v>320</v>
      </c>
    </row>
    <row r="50" spans="1:6" x14ac:dyDescent="0.3">
      <c r="A50" s="19" t="s">
        <v>40</v>
      </c>
      <c r="B50" s="19" t="s">
        <v>27</v>
      </c>
      <c r="C50" s="19" t="s">
        <v>32</v>
      </c>
      <c r="D50" s="19" t="s">
        <v>33</v>
      </c>
      <c r="E50" s="19">
        <v>175</v>
      </c>
      <c r="F50" s="19">
        <v>200</v>
      </c>
    </row>
    <row r="51" spans="1:6" x14ac:dyDescent="0.3">
      <c r="A51" s="20" t="s">
        <v>40</v>
      </c>
      <c r="B51" s="20" t="s">
        <v>30</v>
      </c>
      <c r="C51" s="20" t="s">
        <v>32</v>
      </c>
      <c r="D51" s="20" t="s">
        <v>33</v>
      </c>
      <c r="E51" s="20">
        <v>164</v>
      </c>
      <c r="F51" s="20">
        <v>200</v>
      </c>
    </row>
    <row r="52" spans="1:6" x14ac:dyDescent="0.3">
      <c r="A52" s="19" t="s">
        <v>40</v>
      </c>
      <c r="B52" s="19" t="s">
        <v>31</v>
      </c>
      <c r="C52" s="19" t="s">
        <v>32</v>
      </c>
      <c r="D52" s="19" t="s">
        <v>33</v>
      </c>
      <c r="E52" s="19">
        <v>164</v>
      </c>
      <c r="F52" s="19">
        <v>200</v>
      </c>
    </row>
    <row r="53" spans="1:6" x14ac:dyDescent="0.3">
      <c r="A53" s="20" t="s">
        <v>40</v>
      </c>
      <c r="B53" s="20" t="s">
        <v>27</v>
      </c>
      <c r="C53" s="20" t="s">
        <v>34</v>
      </c>
      <c r="D53" s="20" t="s">
        <v>35</v>
      </c>
      <c r="E53" s="20">
        <v>366</v>
      </c>
      <c r="F53" s="20">
        <v>400</v>
      </c>
    </row>
    <row r="54" spans="1:6" x14ac:dyDescent="0.3">
      <c r="A54" s="19" t="s">
        <v>40</v>
      </c>
      <c r="B54" s="19" t="s">
        <v>30</v>
      </c>
      <c r="C54" s="19" t="s">
        <v>34</v>
      </c>
      <c r="D54" s="19" t="s">
        <v>35</v>
      </c>
      <c r="E54" s="19">
        <v>370</v>
      </c>
      <c r="F54" s="19">
        <v>400</v>
      </c>
    </row>
    <row r="55" spans="1:6" x14ac:dyDescent="0.3">
      <c r="A55" s="20" t="s">
        <v>40</v>
      </c>
      <c r="B55" s="20" t="s">
        <v>31</v>
      </c>
      <c r="C55" s="20" t="s">
        <v>34</v>
      </c>
      <c r="D55" s="20" t="s">
        <v>35</v>
      </c>
      <c r="E55" s="20">
        <v>415</v>
      </c>
      <c r="F55" s="20">
        <v>400</v>
      </c>
    </row>
    <row r="56" spans="1:6" x14ac:dyDescent="0.3">
      <c r="A56" s="19" t="s">
        <v>41</v>
      </c>
      <c r="B56" s="19" t="s">
        <v>27</v>
      </c>
      <c r="C56" s="19" t="s">
        <v>28</v>
      </c>
      <c r="D56" s="19" t="s">
        <v>29</v>
      </c>
      <c r="E56" s="19">
        <v>316</v>
      </c>
      <c r="F56" s="19">
        <v>320</v>
      </c>
    </row>
    <row r="57" spans="1:6" x14ac:dyDescent="0.3">
      <c r="A57" s="20" t="s">
        <v>41</v>
      </c>
      <c r="B57" s="20" t="s">
        <v>30</v>
      </c>
      <c r="C57" s="20" t="s">
        <v>28</v>
      </c>
      <c r="D57" s="20" t="s">
        <v>29</v>
      </c>
      <c r="E57" s="20">
        <v>314</v>
      </c>
      <c r="F57" s="20">
        <v>320</v>
      </c>
    </row>
    <row r="58" spans="1:6" x14ac:dyDescent="0.3">
      <c r="A58" s="19" t="s">
        <v>41</v>
      </c>
      <c r="B58" s="19" t="s">
        <v>31</v>
      </c>
      <c r="C58" s="19" t="s">
        <v>28</v>
      </c>
      <c r="D58" s="19" t="s">
        <v>29</v>
      </c>
      <c r="E58" s="19">
        <v>290</v>
      </c>
      <c r="F58" s="19">
        <v>320</v>
      </c>
    </row>
    <row r="59" spans="1:6" x14ac:dyDescent="0.3">
      <c r="A59" s="20" t="s">
        <v>41</v>
      </c>
      <c r="B59" s="20" t="s">
        <v>27</v>
      </c>
      <c r="C59" s="20" t="s">
        <v>32</v>
      </c>
      <c r="D59" s="20" t="s">
        <v>33</v>
      </c>
      <c r="E59" s="20">
        <v>179</v>
      </c>
      <c r="F59" s="20">
        <v>200</v>
      </c>
    </row>
    <row r="60" spans="1:6" x14ac:dyDescent="0.3">
      <c r="A60" s="19" t="s">
        <v>41</v>
      </c>
      <c r="B60" s="19" t="s">
        <v>30</v>
      </c>
      <c r="C60" s="19" t="s">
        <v>32</v>
      </c>
      <c r="D60" s="19" t="s">
        <v>33</v>
      </c>
      <c r="E60" s="19">
        <v>156</v>
      </c>
      <c r="F60" s="19">
        <v>200</v>
      </c>
    </row>
    <row r="61" spans="1:6" x14ac:dyDescent="0.3">
      <c r="A61" s="20" t="s">
        <v>41</v>
      </c>
      <c r="B61" s="20" t="s">
        <v>31</v>
      </c>
      <c r="C61" s="20" t="s">
        <v>32</v>
      </c>
      <c r="D61" s="20" t="s">
        <v>33</v>
      </c>
      <c r="E61" s="20">
        <v>165</v>
      </c>
      <c r="F61" s="20">
        <v>200</v>
      </c>
    </row>
    <row r="62" spans="1:6" x14ac:dyDescent="0.3">
      <c r="A62" s="19" t="s">
        <v>41</v>
      </c>
      <c r="B62" s="19" t="s">
        <v>27</v>
      </c>
      <c r="C62" s="19" t="s">
        <v>34</v>
      </c>
      <c r="D62" s="19" t="s">
        <v>35</v>
      </c>
      <c r="E62" s="19">
        <v>419</v>
      </c>
      <c r="F62" s="19">
        <v>400</v>
      </c>
    </row>
    <row r="63" spans="1:6" x14ac:dyDescent="0.3">
      <c r="A63" s="20" t="s">
        <v>41</v>
      </c>
      <c r="B63" s="20" t="s">
        <v>30</v>
      </c>
      <c r="C63" s="20" t="s">
        <v>34</v>
      </c>
      <c r="D63" s="20" t="s">
        <v>35</v>
      </c>
      <c r="E63" s="20">
        <v>395</v>
      </c>
      <c r="F63" s="20">
        <v>400</v>
      </c>
    </row>
    <row r="64" spans="1:6" x14ac:dyDescent="0.3">
      <c r="A64" s="19" t="s">
        <v>41</v>
      </c>
      <c r="B64" s="19" t="s">
        <v>31</v>
      </c>
      <c r="C64" s="19" t="s">
        <v>34</v>
      </c>
      <c r="D64" s="19" t="s">
        <v>35</v>
      </c>
      <c r="E64" s="19">
        <v>389</v>
      </c>
      <c r="F64" s="19">
        <v>400</v>
      </c>
    </row>
    <row r="65" spans="1:6" x14ac:dyDescent="0.3">
      <c r="A65" s="20" t="s">
        <v>42</v>
      </c>
      <c r="B65" s="20" t="s">
        <v>27</v>
      </c>
      <c r="C65" s="20" t="s">
        <v>28</v>
      </c>
      <c r="D65" s="20" t="s">
        <v>29</v>
      </c>
      <c r="E65" s="20">
        <v>318</v>
      </c>
      <c r="F65" s="20">
        <v>320</v>
      </c>
    </row>
    <row r="66" spans="1:6" x14ac:dyDescent="0.3">
      <c r="A66" s="19" t="s">
        <v>42</v>
      </c>
      <c r="B66" s="19" t="s">
        <v>30</v>
      </c>
      <c r="C66" s="19" t="s">
        <v>28</v>
      </c>
      <c r="D66" s="19" t="s">
        <v>29</v>
      </c>
      <c r="E66" s="19">
        <v>327</v>
      </c>
      <c r="F66" s="19">
        <v>320</v>
      </c>
    </row>
    <row r="67" spans="1:6" x14ac:dyDescent="0.3">
      <c r="A67" s="20" t="s">
        <v>42</v>
      </c>
      <c r="B67" s="20" t="s">
        <v>31</v>
      </c>
      <c r="C67" s="20" t="s">
        <v>28</v>
      </c>
      <c r="D67" s="20" t="s">
        <v>29</v>
      </c>
      <c r="E67" s="20">
        <v>323</v>
      </c>
      <c r="F67" s="20">
        <v>320</v>
      </c>
    </row>
    <row r="68" spans="1:6" x14ac:dyDescent="0.3">
      <c r="A68" s="19" t="s">
        <v>42</v>
      </c>
      <c r="B68" s="19" t="s">
        <v>27</v>
      </c>
      <c r="C68" s="19" t="s">
        <v>32</v>
      </c>
      <c r="D68" s="19" t="s">
        <v>33</v>
      </c>
      <c r="E68" s="19">
        <v>159</v>
      </c>
      <c r="F68" s="19">
        <v>200</v>
      </c>
    </row>
    <row r="69" spans="1:6" x14ac:dyDescent="0.3">
      <c r="A69" s="20" t="s">
        <v>42</v>
      </c>
      <c r="B69" s="20" t="s">
        <v>30</v>
      </c>
      <c r="C69" s="20" t="s">
        <v>32</v>
      </c>
      <c r="D69" s="20" t="s">
        <v>33</v>
      </c>
      <c r="E69" s="20">
        <v>151</v>
      </c>
      <c r="F69" s="20">
        <v>200</v>
      </c>
    </row>
    <row r="70" spans="1:6" x14ac:dyDescent="0.3">
      <c r="A70" s="19" t="s">
        <v>42</v>
      </c>
      <c r="B70" s="19" t="s">
        <v>31</v>
      </c>
      <c r="C70" s="19" t="s">
        <v>32</v>
      </c>
      <c r="D70" s="19" t="s">
        <v>33</v>
      </c>
      <c r="E70" s="19">
        <v>162</v>
      </c>
      <c r="F70" s="19">
        <v>200</v>
      </c>
    </row>
    <row r="71" spans="1:6" x14ac:dyDescent="0.3">
      <c r="A71" s="20" t="s">
        <v>42</v>
      </c>
      <c r="B71" s="20" t="s">
        <v>27</v>
      </c>
      <c r="C71" s="20" t="s">
        <v>34</v>
      </c>
      <c r="D71" s="20" t="s">
        <v>35</v>
      </c>
      <c r="E71" s="20">
        <v>370</v>
      </c>
      <c r="F71" s="20">
        <v>400</v>
      </c>
    </row>
    <row r="72" spans="1:6" x14ac:dyDescent="0.3">
      <c r="A72" s="19" t="s">
        <v>42</v>
      </c>
      <c r="B72" s="19" t="s">
        <v>30</v>
      </c>
      <c r="C72" s="19" t="s">
        <v>34</v>
      </c>
      <c r="D72" s="19" t="s">
        <v>35</v>
      </c>
      <c r="E72" s="19">
        <v>366</v>
      </c>
      <c r="F72" s="19">
        <v>400</v>
      </c>
    </row>
    <row r="73" spans="1:6" x14ac:dyDescent="0.3">
      <c r="A73" s="20" t="s">
        <v>42</v>
      </c>
      <c r="B73" s="20" t="s">
        <v>31</v>
      </c>
      <c r="C73" s="20" t="s">
        <v>34</v>
      </c>
      <c r="D73" s="20" t="s">
        <v>35</v>
      </c>
      <c r="E73" s="20">
        <v>416</v>
      </c>
      <c r="F73" s="20">
        <v>400</v>
      </c>
    </row>
    <row r="74" spans="1:6" x14ac:dyDescent="0.3">
      <c r="A74" s="19" t="s">
        <v>43</v>
      </c>
      <c r="B74" s="19" t="s">
        <v>27</v>
      </c>
      <c r="C74" s="19" t="s">
        <v>28</v>
      </c>
      <c r="D74" s="19" t="s">
        <v>29</v>
      </c>
      <c r="E74" s="19">
        <v>329</v>
      </c>
      <c r="F74" s="19">
        <v>320</v>
      </c>
    </row>
    <row r="75" spans="1:6" x14ac:dyDescent="0.3">
      <c r="A75" s="20" t="s">
        <v>43</v>
      </c>
      <c r="B75" s="20" t="s">
        <v>30</v>
      </c>
      <c r="C75" s="20" t="s">
        <v>28</v>
      </c>
      <c r="D75" s="20" t="s">
        <v>29</v>
      </c>
      <c r="E75" s="20">
        <v>298</v>
      </c>
      <c r="F75" s="20">
        <v>320</v>
      </c>
    </row>
    <row r="76" spans="1:6" x14ac:dyDescent="0.3">
      <c r="A76" s="19" t="s">
        <v>43</v>
      </c>
      <c r="B76" s="19" t="s">
        <v>31</v>
      </c>
      <c r="C76" s="19" t="s">
        <v>28</v>
      </c>
      <c r="D76" s="19" t="s">
        <v>29</v>
      </c>
      <c r="E76" s="19">
        <v>317</v>
      </c>
      <c r="F76" s="19">
        <v>320</v>
      </c>
    </row>
    <row r="77" spans="1:6" x14ac:dyDescent="0.3">
      <c r="A77" s="20" t="s">
        <v>43</v>
      </c>
      <c r="B77" s="20" t="s">
        <v>27</v>
      </c>
      <c r="C77" s="20" t="s">
        <v>32</v>
      </c>
      <c r="D77" s="20" t="s">
        <v>33</v>
      </c>
      <c r="E77" s="20">
        <v>165</v>
      </c>
      <c r="F77" s="20">
        <v>200</v>
      </c>
    </row>
    <row r="78" spans="1:6" x14ac:dyDescent="0.3">
      <c r="A78" s="19" t="s">
        <v>43</v>
      </c>
      <c r="B78" s="19" t="s">
        <v>30</v>
      </c>
      <c r="C78" s="19" t="s">
        <v>32</v>
      </c>
      <c r="D78" s="19" t="s">
        <v>33</v>
      </c>
      <c r="E78" s="19">
        <v>186</v>
      </c>
      <c r="F78" s="19">
        <v>200</v>
      </c>
    </row>
    <row r="79" spans="1:6" x14ac:dyDescent="0.3">
      <c r="A79" s="20" t="s">
        <v>43</v>
      </c>
      <c r="B79" s="20" t="s">
        <v>31</v>
      </c>
      <c r="C79" s="20" t="s">
        <v>32</v>
      </c>
      <c r="D79" s="20" t="s">
        <v>33</v>
      </c>
      <c r="E79" s="20">
        <v>168</v>
      </c>
      <c r="F79" s="20">
        <v>200</v>
      </c>
    </row>
    <row r="80" spans="1:6" x14ac:dyDescent="0.3">
      <c r="A80" s="19" t="s">
        <v>43</v>
      </c>
      <c r="B80" s="19" t="s">
        <v>27</v>
      </c>
      <c r="C80" s="19" t="s">
        <v>34</v>
      </c>
      <c r="D80" s="19" t="s">
        <v>35</v>
      </c>
      <c r="E80" s="19">
        <v>370</v>
      </c>
      <c r="F80" s="19">
        <v>400</v>
      </c>
    </row>
    <row r="81" spans="1:6" x14ac:dyDescent="0.3">
      <c r="A81" s="20" t="s">
        <v>43</v>
      </c>
      <c r="B81" s="20" t="s">
        <v>30</v>
      </c>
      <c r="C81" s="20" t="s">
        <v>34</v>
      </c>
      <c r="D81" s="20" t="s">
        <v>35</v>
      </c>
      <c r="E81" s="20">
        <v>368</v>
      </c>
      <c r="F81" s="20">
        <v>400</v>
      </c>
    </row>
    <row r="82" spans="1:6" x14ac:dyDescent="0.3">
      <c r="A82" s="19" t="s">
        <v>43</v>
      </c>
      <c r="B82" s="19" t="s">
        <v>31</v>
      </c>
      <c r="C82" s="19" t="s">
        <v>34</v>
      </c>
      <c r="D82" s="19" t="s">
        <v>35</v>
      </c>
      <c r="E82" s="19">
        <v>390</v>
      </c>
      <c r="F82" s="19">
        <v>400</v>
      </c>
    </row>
    <row r="83" spans="1:6" x14ac:dyDescent="0.3">
      <c r="A83" s="20" t="s">
        <v>44</v>
      </c>
      <c r="B83" s="20" t="s">
        <v>27</v>
      </c>
      <c r="C83" s="20" t="s">
        <v>28</v>
      </c>
      <c r="D83" s="20" t="s">
        <v>29</v>
      </c>
      <c r="E83" s="20">
        <v>295</v>
      </c>
      <c r="F83" s="20">
        <v>320</v>
      </c>
    </row>
    <row r="84" spans="1:6" x14ac:dyDescent="0.3">
      <c r="A84" s="19" t="s">
        <v>44</v>
      </c>
      <c r="B84" s="19" t="s">
        <v>30</v>
      </c>
      <c r="C84" s="19" t="s">
        <v>28</v>
      </c>
      <c r="D84" s="19" t="s">
        <v>29</v>
      </c>
      <c r="E84" s="19">
        <v>313</v>
      </c>
      <c r="F84" s="19">
        <v>320</v>
      </c>
    </row>
    <row r="85" spans="1:6" x14ac:dyDescent="0.3">
      <c r="A85" s="20" t="s">
        <v>44</v>
      </c>
      <c r="B85" s="20" t="s">
        <v>31</v>
      </c>
      <c r="C85" s="20" t="s">
        <v>28</v>
      </c>
      <c r="D85" s="20" t="s">
        <v>29</v>
      </c>
      <c r="E85" s="20">
        <v>330</v>
      </c>
      <c r="F85" s="20">
        <v>320</v>
      </c>
    </row>
    <row r="86" spans="1:6" x14ac:dyDescent="0.3">
      <c r="A86" s="19" t="s">
        <v>44</v>
      </c>
      <c r="B86" s="19" t="s">
        <v>27</v>
      </c>
      <c r="C86" s="19" t="s">
        <v>32</v>
      </c>
      <c r="D86" s="19" t="s">
        <v>33</v>
      </c>
      <c r="E86" s="19">
        <v>165</v>
      </c>
      <c r="F86" s="19">
        <v>200</v>
      </c>
    </row>
    <row r="87" spans="1:6" x14ac:dyDescent="0.3">
      <c r="A87" s="20" t="s">
        <v>44</v>
      </c>
      <c r="B87" s="20" t="s">
        <v>30</v>
      </c>
      <c r="C87" s="20" t="s">
        <v>32</v>
      </c>
      <c r="D87" s="20" t="s">
        <v>33</v>
      </c>
      <c r="E87" s="20">
        <v>158</v>
      </c>
      <c r="F87" s="20">
        <v>200</v>
      </c>
    </row>
    <row r="88" spans="1:6" x14ac:dyDescent="0.3">
      <c r="A88" s="19" t="s">
        <v>44</v>
      </c>
      <c r="B88" s="19" t="s">
        <v>31</v>
      </c>
      <c r="C88" s="19" t="s">
        <v>32</v>
      </c>
      <c r="D88" s="19" t="s">
        <v>33</v>
      </c>
      <c r="E88" s="19">
        <v>189</v>
      </c>
      <c r="F88" s="19">
        <v>200</v>
      </c>
    </row>
    <row r="89" spans="1:6" x14ac:dyDescent="0.3">
      <c r="A89" s="20" t="s">
        <v>44</v>
      </c>
      <c r="B89" s="20" t="s">
        <v>27</v>
      </c>
      <c r="C89" s="20" t="s">
        <v>34</v>
      </c>
      <c r="D89" s="20" t="s">
        <v>35</v>
      </c>
      <c r="E89" s="20">
        <v>386</v>
      </c>
      <c r="F89" s="20">
        <v>400</v>
      </c>
    </row>
    <row r="90" spans="1:6" x14ac:dyDescent="0.3">
      <c r="A90" s="19" t="s">
        <v>44</v>
      </c>
      <c r="B90" s="19" t="s">
        <v>30</v>
      </c>
      <c r="C90" s="19" t="s">
        <v>34</v>
      </c>
      <c r="D90" s="19" t="s">
        <v>35</v>
      </c>
      <c r="E90" s="19">
        <v>358</v>
      </c>
      <c r="F90" s="19">
        <v>400</v>
      </c>
    </row>
    <row r="91" spans="1:6" x14ac:dyDescent="0.3">
      <c r="A91" s="20" t="s">
        <v>44</v>
      </c>
      <c r="B91" s="20" t="s">
        <v>31</v>
      </c>
      <c r="C91" s="20" t="s">
        <v>34</v>
      </c>
      <c r="D91" s="20" t="s">
        <v>35</v>
      </c>
      <c r="E91" s="20">
        <v>355</v>
      </c>
      <c r="F91" s="20">
        <v>400</v>
      </c>
    </row>
    <row r="92" spans="1:6" x14ac:dyDescent="0.3">
      <c r="A92" s="19" t="s">
        <v>45</v>
      </c>
      <c r="B92" s="19" t="s">
        <v>27</v>
      </c>
      <c r="C92" s="19" t="s">
        <v>28</v>
      </c>
      <c r="D92" s="19" t="s">
        <v>29</v>
      </c>
      <c r="E92" s="19">
        <v>287</v>
      </c>
      <c r="F92" s="19">
        <v>320</v>
      </c>
    </row>
    <row r="93" spans="1:6" x14ac:dyDescent="0.3">
      <c r="A93" s="20" t="s">
        <v>45</v>
      </c>
      <c r="B93" s="20" t="s">
        <v>30</v>
      </c>
      <c r="C93" s="20" t="s">
        <v>28</v>
      </c>
      <c r="D93" s="20" t="s">
        <v>29</v>
      </c>
      <c r="E93" s="20">
        <v>315</v>
      </c>
      <c r="F93" s="20">
        <v>320</v>
      </c>
    </row>
    <row r="94" spans="1:6" x14ac:dyDescent="0.3">
      <c r="A94" s="19" t="s">
        <v>45</v>
      </c>
      <c r="B94" s="19" t="s">
        <v>31</v>
      </c>
      <c r="C94" s="19" t="s">
        <v>28</v>
      </c>
      <c r="D94" s="19" t="s">
        <v>29</v>
      </c>
      <c r="E94" s="19">
        <v>324</v>
      </c>
      <c r="F94" s="19">
        <v>320</v>
      </c>
    </row>
    <row r="95" spans="1:6" x14ac:dyDescent="0.3">
      <c r="A95" s="20" t="s">
        <v>45</v>
      </c>
      <c r="B95" s="20" t="s">
        <v>27</v>
      </c>
      <c r="C95" s="20" t="s">
        <v>32</v>
      </c>
      <c r="D95" s="20" t="s">
        <v>33</v>
      </c>
      <c r="E95" s="20">
        <v>166</v>
      </c>
      <c r="F95" s="20">
        <v>200</v>
      </c>
    </row>
    <row r="96" spans="1:6" x14ac:dyDescent="0.3">
      <c r="A96" s="19" t="s">
        <v>45</v>
      </c>
      <c r="B96" s="19" t="s">
        <v>30</v>
      </c>
      <c r="C96" s="19" t="s">
        <v>32</v>
      </c>
      <c r="D96" s="19" t="s">
        <v>33</v>
      </c>
      <c r="E96" s="19">
        <v>152</v>
      </c>
      <c r="F96" s="19">
        <v>200</v>
      </c>
    </row>
    <row r="97" spans="1:6" x14ac:dyDescent="0.3">
      <c r="A97" s="20" t="s">
        <v>45</v>
      </c>
      <c r="B97" s="20" t="s">
        <v>31</v>
      </c>
      <c r="C97" s="20" t="s">
        <v>32</v>
      </c>
      <c r="D97" s="20" t="s">
        <v>33</v>
      </c>
      <c r="E97" s="20">
        <v>165</v>
      </c>
      <c r="F97" s="20">
        <v>200</v>
      </c>
    </row>
    <row r="98" spans="1:6" x14ac:dyDescent="0.3">
      <c r="A98" s="19" t="s">
        <v>45</v>
      </c>
      <c r="B98" s="19" t="s">
        <v>27</v>
      </c>
      <c r="C98" s="19" t="s">
        <v>34</v>
      </c>
      <c r="D98" s="19" t="s">
        <v>35</v>
      </c>
      <c r="E98" s="19">
        <v>419</v>
      </c>
      <c r="F98" s="19">
        <v>400</v>
      </c>
    </row>
    <row r="99" spans="1:6" x14ac:dyDescent="0.3">
      <c r="A99" s="20" t="s">
        <v>45</v>
      </c>
      <c r="B99" s="20" t="s">
        <v>30</v>
      </c>
      <c r="C99" s="20" t="s">
        <v>34</v>
      </c>
      <c r="D99" s="20" t="s">
        <v>35</v>
      </c>
      <c r="E99" s="20">
        <v>387</v>
      </c>
      <c r="F99" s="20">
        <v>400</v>
      </c>
    </row>
    <row r="100" spans="1:6" x14ac:dyDescent="0.3">
      <c r="A100" s="19" t="s">
        <v>45</v>
      </c>
      <c r="B100" s="19" t="s">
        <v>31</v>
      </c>
      <c r="C100" s="19" t="s">
        <v>34</v>
      </c>
      <c r="D100" s="19" t="s">
        <v>35</v>
      </c>
      <c r="E100" s="19">
        <v>418</v>
      </c>
      <c r="F100" s="19">
        <v>400</v>
      </c>
    </row>
    <row r="101" spans="1:6" x14ac:dyDescent="0.3">
      <c r="A101" s="20" t="s">
        <v>46</v>
      </c>
      <c r="B101" s="20" t="s">
        <v>27</v>
      </c>
      <c r="C101" s="20" t="s">
        <v>28</v>
      </c>
      <c r="D101" s="20" t="s">
        <v>29</v>
      </c>
      <c r="E101" s="20">
        <v>328</v>
      </c>
      <c r="F101" s="20">
        <v>320</v>
      </c>
    </row>
    <row r="102" spans="1:6" x14ac:dyDescent="0.3">
      <c r="A102" s="19" t="s">
        <v>46</v>
      </c>
      <c r="B102" s="19" t="s">
        <v>30</v>
      </c>
      <c r="C102" s="19" t="s">
        <v>28</v>
      </c>
      <c r="D102" s="19" t="s">
        <v>29</v>
      </c>
      <c r="E102" s="19">
        <v>282</v>
      </c>
      <c r="F102" s="19">
        <v>320</v>
      </c>
    </row>
    <row r="103" spans="1:6" x14ac:dyDescent="0.3">
      <c r="A103" s="20" t="s">
        <v>46</v>
      </c>
      <c r="B103" s="20" t="s">
        <v>31</v>
      </c>
      <c r="C103" s="20" t="s">
        <v>28</v>
      </c>
      <c r="D103" s="20" t="s">
        <v>29</v>
      </c>
      <c r="E103" s="20">
        <v>320</v>
      </c>
      <c r="F103" s="20">
        <v>320</v>
      </c>
    </row>
    <row r="104" spans="1:6" x14ac:dyDescent="0.3">
      <c r="A104" s="19" t="s">
        <v>46</v>
      </c>
      <c r="B104" s="19" t="s">
        <v>27</v>
      </c>
      <c r="C104" s="19" t="s">
        <v>32</v>
      </c>
      <c r="D104" s="19" t="s">
        <v>33</v>
      </c>
      <c r="E104" s="19">
        <v>177</v>
      </c>
      <c r="F104" s="19">
        <v>200</v>
      </c>
    </row>
    <row r="105" spans="1:6" x14ac:dyDescent="0.3">
      <c r="A105" s="20" t="s">
        <v>46</v>
      </c>
      <c r="B105" s="20" t="s">
        <v>30</v>
      </c>
      <c r="C105" s="20" t="s">
        <v>32</v>
      </c>
      <c r="D105" s="20" t="s">
        <v>33</v>
      </c>
      <c r="E105" s="20">
        <v>171</v>
      </c>
      <c r="F105" s="20">
        <v>200</v>
      </c>
    </row>
    <row r="106" spans="1:6" x14ac:dyDescent="0.3">
      <c r="A106" s="19" t="s">
        <v>46</v>
      </c>
      <c r="B106" s="19" t="s">
        <v>31</v>
      </c>
      <c r="C106" s="19" t="s">
        <v>32</v>
      </c>
      <c r="D106" s="19" t="s">
        <v>33</v>
      </c>
      <c r="E106" s="19">
        <v>160</v>
      </c>
      <c r="F106" s="19">
        <v>200</v>
      </c>
    </row>
    <row r="107" spans="1:6" x14ac:dyDescent="0.3">
      <c r="A107" s="20" t="s">
        <v>46</v>
      </c>
      <c r="B107" s="20" t="s">
        <v>27</v>
      </c>
      <c r="C107" s="20" t="s">
        <v>34</v>
      </c>
      <c r="D107" s="20" t="s">
        <v>35</v>
      </c>
      <c r="E107" s="20">
        <v>395</v>
      </c>
      <c r="F107" s="20">
        <v>400</v>
      </c>
    </row>
    <row r="108" spans="1:6" x14ac:dyDescent="0.3">
      <c r="A108" s="19" t="s">
        <v>46</v>
      </c>
      <c r="B108" s="19" t="s">
        <v>30</v>
      </c>
      <c r="C108" s="19" t="s">
        <v>34</v>
      </c>
      <c r="D108" s="19" t="s">
        <v>35</v>
      </c>
      <c r="E108" s="19">
        <v>359</v>
      </c>
      <c r="F108" s="19">
        <v>400</v>
      </c>
    </row>
    <row r="109" spans="1:6" x14ac:dyDescent="0.3">
      <c r="A109" s="20" t="s">
        <v>46</v>
      </c>
      <c r="B109" s="20" t="s">
        <v>31</v>
      </c>
      <c r="C109" s="20" t="s">
        <v>34</v>
      </c>
      <c r="D109" s="20" t="s">
        <v>35</v>
      </c>
      <c r="E109" s="20">
        <v>381</v>
      </c>
      <c r="F109" s="20">
        <v>400</v>
      </c>
    </row>
    <row r="110" spans="1:6" x14ac:dyDescent="0.3">
      <c r="A110" s="19" t="s">
        <v>47</v>
      </c>
      <c r="B110" s="19" t="s">
        <v>27</v>
      </c>
      <c r="C110" s="19" t="s">
        <v>28</v>
      </c>
      <c r="D110" s="19" t="s">
        <v>29</v>
      </c>
      <c r="E110" s="19">
        <v>306</v>
      </c>
      <c r="F110" s="19">
        <v>320</v>
      </c>
    </row>
    <row r="111" spans="1:6" x14ac:dyDescent="0.3">
      <c r="A111" s="20" t="s">
        <v>47</v>
      </c>
      <c r="B111" s="20" t="s">
        <v>30</v>
      </c>
      <c r="C111" s="20" t="s">
        <v>28</v>
      </c>
      <c r="D111" s="20" t="s">
        <v>29</v>
      </c>
      <c r="E111" s="20">
        <v>333</v>
      </c>
      <c r="F111" s="20">
        <v>320</v>
      </c>
    </row>
    <row r="112" spans="1:6" x14ac:dyDescent="0.3">
      <c r="A112" s="19" t="s">
        <v>47</v>
      </c>
      <c r="B112" s="19" t="s">
        <v>31</v>
      </c>
      <c r="C112" s="19" t="s">
        <v>28</v>
      </c>
      <c r="D112" s="19" t="s">
        <v>29</v>
      </c>
      <c r="E112" s="19">
        <v>329</v>
      </c>
      <c r="F112" s="19">
        <v>320</v>
      </c>
    </row>
    <row r="113" spans="1:6" x14ac:dyDescent="0.3">
      <c r="A113" s="20" t="s">
        <v>47</v>
      </c>
      <c r="B113" s="20" t="s">
        <v>27</v>
      </c>
      <c r="C113" s="20" t="s">
        <v>32</v>
      </c>
      <c r="D113" s="20" t="s">
        <v>33</v>
      </c>
      <c r="E113" s="20">
        <v>160</v>
      </c>
      <c r="F113" s="20">
        <v>200</v>
      </c>
    </row>
    <row r="114" spans="1:6" x14ac:dyDescent="0.3">
      <c r="A114" s="19" t="s">
        <v>47</v>
      </c>
      <c r="B114" s="19" t="s">
        <v>30</v>
      </c>
      <c r="C114" s="19" t="s">
        <v>32</v>
      </c>
      <c r="D114" s="19" t="s">
        <v>33</v>
      </c>
      <c r="E114" s="19">
        <v>170</v>
      </c>
      <c r="F114" s="19">
        <v>200</v>
      </c>
    </row>
    <row r="115" spans="1:6" x14ac:dyDescent="0.3">
      <c r="A115" s="20" t="s">
        <v>47</v>
      </c>
      <c r="B115" s="20" t="s">
        <v>31</v>
      </c>
      <c r="C115" s="20" t="s">
        <v>32</v>
      </c>
      <c r="D115" s="20" t="s">
        <v>33</v>
      </c>
      <c r="E115" s="20">
        <v>157</v>
      </c>
      <c r="F115" s="20">
        <v>200</v>
      </c>
    </row>
    <row r="116" spans="1:6" x14ac:dyDescent="0.3">
      <c r="A116" s="19" t="s">
        <v>47</v>
      </c>
      <c r="B116" s="19" t="s">
        <v>27</v>
      </c>
      <c r="C116" s="19" t="s">
        <v>34</v>
      </c>
      <c r="D116" s="19" t="s">
        <v>35</v>
      </c>
      <c r="E116" s="19">
        <v>414</v>
      </c>
      <c r="F116" s="19">
        <v>400</v>
      </c>
    </row>
    <row r="117" spans="1:6" x14ac:dyDescent="0.3">
      <c r="A117" s="20" t="s">
        <v>47</v>
      </c>
      <c r="B117" s="20" t="s">
        <v>30</v>
      </c>
      <c r="C117" s="20" t="s">
        <v>34</v>
      </c>
      <c r="D117" s="20" t="s">
        <v>35</v>
      </c>
      <c r="E117" s="20">
        <v>411</v>
      </c>
      <c r="F117" s="20">
        <v>400</v>
      </c>
    </row>
    <row r="118" spans="1:6" x14ac:dyDescent="0.3">
      <c r="A118" s="19" t="s">
        <v>47</v>
      </c>
      <c r="B118" s="19" t="s">
        <v>31</v>
      </c>
      <c r="C118" s="19" t="s">
        <v>34</v>
      </c>
      <c r="D118" s="19" t="s">
        <v>35</v>
      </c>
      <c r="E118" s="19">
        <v>372</v>
      </c>
      <c r="F118" s="19">
        <v>400</v>
      </c>
    </row>
    <row r="119" spans="1:6" x14ac:dyDescent="0.3">
      <c r="A119" s="20" t="s">
        <v>48</v>
      </c>
      <c r="B119" s="20" t="s">
        <v>27</v>
      </c>
      <c r="C119" s="20" t="s">
        <v>28</v>
      </c>
      <c r="D119" s="20" t="s">
        <v>29</v>
      </c>
      <c r="E119" s="20">
        <v>316</v>
      </c>
      <c r="F119" s="20">
        <v>320</v>
      </c>
    </row>
    <row r="120" spans="1:6" x14ac:dyDescent="0.3">
      <c r="A120" s="19" t="s">
        <v>48</v>
      </c>
      <c r="B120" s="19" t="s">
        <v>30</v>
      </c>
      <c r="C120" s="19" t="s">
        <v>28</v>
      </c>
      <c r="D120" s="19" t="s">
        <v>29</v>
      </c>
      <c r="E120" s="19">
        <v>314</v>
      </c>
      <c r="F120" s="19">
        <v>320</v>
      </c>
    </row>
    <row r="121" spans="1:6" x14ac:dyDescent="0.3">
      <c r="A121" s="20" t="s">
        <v>48</v>
      </c>
      <c r="B121" s="20" t="s">
        <v>31</v>
      </c>
      <c r="C121" s="20" t="s">
        <v>28</v>
      </c>
      <c r="D121" s="20" t="s">
        <v>29</v>
      </c>
      <c r="E121" s="20">
        <v>289</v>
      </c>
      <c r="F121" s="20">
        <v>320</v>
      </c>
    </row>
    <row r="122" spans="1:6" x14ac:dyDescent="0.3">
      <c r="A122" s="19" t="s">
        <v>48</v>
      </c>
      <c r="B122" s="19" t="s">
        <v>27</v>
      </c>
      <c r="C122" s="19" t="s">
        <v>32</v>
      </c>
      <c r="D122" s="19" t="s">
        <v>33</v>
      </c>
      <c r="E122" s="19">
        <v>180</v>
      </c>
      <c r="F122" s="19">
        <v>200</v>
      </c>
    </row>
    <row r="123" spans="1:6" x14ac:dyDescent="0.3">
      <c r="A123" s="20" t="s">
        <v>48</v>
      </c>
      <c r="B123" s="20" t="s">
        <v>30</v>
      </c>
      <c r="C123" s="20" t="s">
        <v>32</v>
      </c>
      <c r="D123" s="20" t="s">
        <v>33</v>
      </c>
      <c r="E123" s="20">
        <v>171</v>
      </c>
      <c r="F123" s="20">
        <v>200</v>
      </c>
    </row>
    <row r="124" spans="1:6" x14ac:dyDescent="0.3">
      <c r="A124" s="19" t="s">
        <v>48</v>
      </c>
      <c r="B124" s="19" t="s">
        <v>31</v>
      </c>
      <c r="C124" s="19" t="s">
        <v>32</v>
      </c>
      <c r="D124" s="19" t="s">
        <v>33</v>
      </c>
      <c r="E124" s="19">
        <v>181</v>
      </c>
      <c r="F124" s="19">
        <v>200</v>
      </c>
    </row>
    <row r="125" spans="1:6" x14ac:dyDescent="0.3">
      <c r="A125" s="20" t="s">
        <v>48</v>
      </c>
      <c r="B125" s="20" t="s">
        <v>27</v>
      </c>
      <c r="C125" s="20" t="s">
        <v>34</v>
      </c>
      <c r="D125" s="20" t="s">
        <v>35</v>
      </c>
      <c r="E125" s="20">
        <v>388</v>
      </c>
      <c r="F125" s="20">
        <v>400</v>
      </c>
    </row>
    <row r="126" spans="1:6" x14ac:dyDescent="0.3">
      <c r="A126" s="19" t="s">
        <v>48</v>
      </c>
      <c r="B126" s="19" t="s">
        <v>30</v>
      </c>
      <c r="C126" s="19" t="s">
        <v>34</v>
      </c>
      <c r="D126" s="19" t="s">
        <v>35</v>
      </c>
      <c r="E126" s="19">
        <v>352</v>
      </c>
      <c r="F126" s="19">
        <v>400</v>
      </c>
    </row>
    <row r="127" spans="1:6" x14ac:dyDescent="0.3">
      <c r="A127" s="20" t="s">
        <v>48</v>
      </c>
      <c r="B127" s="20" t="s">
        <v>31</v>
      </c>
      <c r="C127" s="20" t="s">
        <v>34</v>
      </c>
      <c r="D127" s="20" t="s">
        <v>35</v>
      </c>
      <c r="E127" s="20">
        <v>374</v>
      </c>
      <c r="F127" s="20">
        <v>400</v>
      </c>
    </row>
    <row r="128" spans="1:6" x14ac:dyDescent="0.3">
      <c r="A128" s="19" t="s">
        <v>49</v>
      </c>
      <c r="B128" s="19" t="s">
        <v>27</v>
      </c>
      <c r="C128" s="19" t="s">
        <v>28</v>
      </c>
      <c r="D128" s="19" t="s">
        <v>29</v>
      </c>
      <c r="E128" s="19">
        <v>282</v>
      </c>
      <c r="F128" s="19">
        <v>320</v>
      </c>
    </row>
    <row r="129" spans="1:6" x14ac:dyDescent="0.3">
      <c r="A129" s="20" t="s">
        <v>49</v>
      </c>
      <c r="B129" s="20" t="s">
        <v>30</v>
      </c>
      <c r="C129" s="20" t="s">
        <v>28</v>
      </c>
      <c r="D129" s="20" t="s">
        <v>29</v>
      </c>
      <c r="E129" s="20">
        <v>332</v>
      </c>
      <c r="F129" s="20">
        <v>320</v>
      </c>
    </row>
    <row r="130" spans="1:6" x14ac:dyDescent="0.3">
      <c r="A130" s="19" t="s">
        <v>49</v>
      </c>
      <c r="B130" s="19" t="s">
        <v>31</v>
      </c>
      <c r="C130" s="19" t="s">
        <v>28</v>
      </c>
      <c r="D130" s="19" t="s">
        <v>29</v>
      </c>
      <c r="E130" s="19">
        <v>329</v>
      </c>
      <c r="F130" s="19">
        <v>320</v>
      </c>
    </row>
    <row r="131" spans="1:6" x14ac:dyDescent="0.3">
      <c r="A131" s="20" t="s">
        <v>49</v>
      </c>
      <c r="B131" s="20" t="s">
        <v>27</v>
      </c>
      <c r="C131" s="20" t="s">
        <v>32</v>
      </c>
      <c r="D131" s="20" t="s">
        <v>33</v>
      </c>
      <c r="E131" s="20">
        <v>183</v>
      </c>
      <c r="F131" s="20">
        <v>200</v>
      </c>
    </row>
    <row r="132" spans="1:6" x14ac:dyDescent="0.3">
      <c r="A132" s="19" t="s">
        <v>49</v>
      </c>
      <c r="B132" s="19" t="s">
        <v>30</v>
      </c>
      <c r="C132" s="19" t="s">
        <v>32</v>
      </c>
      <c r="D132" s="19" t="s">
        <v>33</v>
      </c>
      <c r="E132" s="19">
        <v>162</v>
      </c>
      <c r="F132" s="19">
        <v>200</v>
      </c>
    </row>
    <row r="133" spans="1:6" x14ac:dyDescent="0.3">
      <c r="A133" s="20" t="s">
        <v>49</v>
      </c>
      <c r="B133" s="20" t="s">
        <v>31</v>
      </c>
      <c r="C133" s="20" t="s">
        <v>32</v>
      </c>
      <c r="D133" s="20" t="s">
        <v>33</v>
      </c>
      <c r="E133" s="20">
        <v>152</v>
      </c>
      <c r="F133" s="20">
        <v>200</v>
      </c>
    </row>
    <row r="134" spans="1:6" x14ac:dyDescent="0.3">
      <c r="A134" s="19" t="s">
        <v>49</v>
      </c>
      <c r="B134" s="19" t="s">
        <v>27</v>
      </c>
      <c r="C134" s="19" t="s">
        <v>34</v>
      </c>
      <c r="D134" s="19" t="s">
        <v>35</v>
      </c>
      <c r="E134" s="19">
        <v>411</v>
      </c>
      <c r="F134" s="19">
        <v>400</v>
      </c>
    </row>
    <row r="135" spans="1:6" x14ac:dyDescent="0.3">
      <c r="A135" s="20" t="s">
        <v>49</v>
      </c>
      <c r="B135" s="20" t="s">
        <v>30</v>
      </c>
      <c r="C135" s="20" t="s">
        <v>34</v>
      </c>
      <c r="D135" s="20" t="s">
        <v>35</v>
      </c>
      <c r="E135" s="20">
        <v>416</v>
      </c>
      <c r="F135" s="20">
        <v>400</v>
      </c>
    </row>
    <row r="136" spans="1:6" x14ac:dyDescent="0.3">
      <c r="A136" s="19" t="s">
        <v>49</v>
      </c>
      <c r="B136" s="19" t="s">
        <v>31</v>
      </c>
      <c r="C136" s="19" t="s">
        <v>34</v>
      </c>
      <c r="D136" s="19" t="s">
        <v>35</v>
      </c>
      <c r="E136" s="19">
        <v>357</v>
      </c>
      <c r="F136" s="19">
        <v>400</v>
      </c>
    </row>
    <row r="137" spans="1:6" x14ac:dyDescent="0.3">
      <c r="A137" s="20" t="s">
        <v>50</v>
      </c>
      <c r="B137" s="20" t="s">
        <v>27</v>
      </c>
      <c r="C137" s="20" t="s">
        <v>28</v>
      </c>
      <c r="D137" s="20" t="s">
        <v>29</v>
      </c>
      <c r="E137" s="20">
        <v>308</v>
      </c>
      <c r="F137" s="20">
        <v>320</v>
      </c>
    </row>
    <row r="138" spans="1:6" x14ac:dyDescent="0.3">
      <c r="A138" s="19" t="s">
        <v>50</v>
      </c>
      <c r="B138" s="19" t="s">
        <v>30</v>
      </c>
      <c r="C138" s="19" t="s">
        <v>28</v>
      </c>
      <c r="D138" s="19" t="s">
        <v>29</v>
      </c>
      <c r="E138" s="19">
        <v>285</v>
      </c>
      <c r="F138" s="19">
        <v>320</v>
      </c>
    </row>
    <row r="139" spans="1:6" x14ac:dyDescent="0.3">
      <c r="A139" s="20" t="s">
        <v>50</v>
      </c>
      <c r="B139" s="20" t="s">
        <v>31</v>
      </c>
      <c r="C139" s="20" t="s">
        <v>28</v>
      </c>
      <c r="D139" s="20" t="s">
        <v>29</v>
      </c>
      <c r="E139" s="20">
        <v>322</v>
      </c>
      <c r="F139" s="20">
        <v>320</v>
      </c>
    </row>
    <row r="140" spans="1:6" x14ac:dyDescent="0.3">
      <c r="A140" s="19" t="s">
        <v>50</v>
      </c>
      <c r="B140" s="19" t="s">
        <v>27</v>
      </c>
      <c r="C140" s="19" t="s">
        <v>32</v>
      </c>
      <c r="D140" s="19" t="s">
        <v>33</v>
      </c>
      <c r="E140" s="19">
        <v>180</v>
      </c>
      <c r="F140" s="19">
        <v>200</v>
      </c>
    </row>
    <row r="141" spans="1:6" x14ac:dyDescent="0.3">
      <c r="A141" s="20" t="s">
        <v>50</v>
      </c>
      <c r="B141" s="20" t="s">
        <v>30</v>
      </c>
      <c r="C141" s="20" t="s">
        <v>32</v>
      </c>
      <c r="D141" s="20" t="s">
        <v>33</v>
      </c>
      <c r="E141" s="20">
        <v>155</v>
      </c>
      <c r="F141" s="20">
        <v>200</v>
      </c>
    </row>
    <row r="142" spans="1:6" x14ac:dyDescent="0.3">
      <c r="A142" s="19" t="s">
        <v>50</v>
      </c>
      <c r="B142" s="19" t="s">
        <v>31</v>
      </c>
      <c r="C142" s="19" t="s">
        <v>32</v>
      </c>
      <c r="D142" s="19" t="s">
        <v>33</v>
      </c>
      <c r="E142" s="19">
        <v>169</v>
      </c>
      <c r="F142" s="19">
        <v>200</v>
      </c>
    </row>
    <row r="143" spans="1:6" x14ac:dyDescent="0.3">
      <c r="A143" s="20" t="s">
        <v>50</v>
      </c>
      <c r="B143" s="20" t="s">
        <v>27</v>
      </c>
      <c r="C143" s="20" t="s">
        <v>34</v>
      </c>
      <c r="D143" s="20" t="s">
        <v>35</v>
      </c>
      <c r="E143" s="20">
        <v>389</v>
      </c>
      <c r="F143" s="20">
        <v>400</v>
      </c>
    </row>
    <row r="144" spans="1:6" x14ac:dyDescent="0.3">
      <c r="A144" s="19" t="s">
        <v>50</v>
      </c>
      <c r="B144" s="19" t="s">
        <v>30</v>
      </c>
      <c r="C144" s="19" t="s">
        <v>34</v>
      </c>
      <c r="D144" s="19" t="s">
        <v>35</v>
      </c>
      <c r="E144" s="19">
        <v>370</v>
      </c>
      <c r="F144" s="19">
        <v>400</v>
      </c>
    </row>
    <row r="145" spans="1:6" x14ac:dyDescent="0.3">
      <c r="A145" s="20" t="s">
        <v>50</v>
      </c>
      <c r="B145" s="20" t="s">
        <v>31</v>
      </c>
      <c r="C145" s="20" t="s">
        <v>34</v>
      </c>
      <c r="D145" s="20" t="s">
        <v>35</v>
      </c>
      <c r="E145" s="20">
        <v>411</v>
      </c>
      <c r="F145" s="20">
        <v>400</v>
      </c>
    </row>
    <row r="146" spans="1:6" x14ac:dyDescent="0.3">
      <c r="A146" s="19" t="s">
        <v>51</v>
      </c>
      <c r="B146" s="19" t="s">
        <v>27</v>
      </c>
      <c r="C146" s="19" t="s">
        <v>28</v>
      </c>
      <c r="D146" s="19" t="s">
        <v>29</v>
      </c>
      <c r="E146" s="19">
        <v>304</v>
      </c>
      <c r="F146" s="19">
        <v>320</v>
      </c>
    </row>
    <row r="147" spans="1:6" x14ac:dyDescent="0.3">
      <c r="A147" s="20" t="s">
        <v>51</v>
      </c>
      <c r="B147" s="20" t="s">
        <v>30</v>
      </c>
      <c r="C147" s="20" t="s">
        <v>28</v>
      </c>
      <c r="D147" s="20" t="s">
        <v>29</v>
      </c>
      <c r="E147" s="20">
        <v>293</v>
      </c>
      <c r="F147" s="20">
        <v>320</v>
      </c>
    </row>
    <row r="148" spans="1:6" x14ac:dyDescent="0.3">
      <c r="A148" s="19" t="s">
        <v>51</v>
      </c>
      <c r="B148" s="19" t="s">
        <v>31</v>
      </c>
      <c r="C148" s="19" t="s">
        <v>28</v>
      </c>
      <c r="D148" s="19" t="s">
        <v>29</v>
      </c>
      <c r="E148" s="19">
        <v>310</v>
      </c>
      <c r="F148" s="19">
        <v>320</v>
      </c>
    </row>
    <row r="149" spans="1:6" x14ac:dyDescent="0.3">
      <c r="A149" s="20" t="s">
        <v>51</v>
      </c>
      <c r="B149" s="20" t="s">
        <v>27</v>
      </c>
      <c r="C149" s="20" t="s">
        <v>32</v>
      </c>
      <c r="D149" s="20" t="s">
        <v>33</v>
      </c>
      <c r="E149" s="20">
        <v>179</v>
      </c>
      <c r="F149" s="20">
        <v>200</v>
      </c>
    </row>
    <row r="150" spans="1:6" x14ac:dyDescent="0.3">
      <c r="A150" s="19" t="s">
        <v>51</v>
      </c>
      <c r="B150" s="19" t="s">
        <v>30</v>
      </c>
      <c r="C150" s="19" t="s">
        <v>32</v>
      </c>
      <c r="D150" s="19" t="s">
        <v>33</v>
      </c>
      <c r="E150" s="19">
        <v>158</v>
      </c>
      <c r="F150" s="19">
        <v>200</v>
      </c>
    </row>
    <row r="151" spans="1:6" x14ac:dyDescent="0.3">
      <c r="A151" s="20" t="s">
        <v>51</v>
      </c>
      <c r="B151" s="20" t="s">
        <v>31</v>
      </c>
      <c r="C151" s="20" t="s">
        <v>32</v>
      </c>
      <c r="D151" s="20" t="s">
        <v>33</v>
      </c>
      <c r="E151" s="20">
        <v>162</v>
      </c>
      <c r="F151" s="20">
        <v>200</v>
      </c>
    </row>
    <row r="152" spans="1:6" x14ac:dyDescent="0.3">
      <c r="A152" s="19" t="s">
        <v>51</v>
      </c>
      <c r="B152" s="19" t="s">
        <v>27</v>
      </c>
      <c r="C152" s="19" t="s">
        <v>34</v>
      </c>
      <c r="D152" s="19" t="s">
        <v>35</v>
      </c>
      <c r="E152" s="19">
        <v>419</v>
      </c>
      <c r="F152" s="19">
        <v>400</v>
      </c>
    </row>
    <row r="153" spans="1:6" x14ac:dyDescent="0.3">
      <c r="A153" s="20" t="s">
        <v>51</v>
      </c>
      <c r="B153" s="20" t="s">
        <v>30</v>
      </c>
      <c r="C153" s="20" t="s">
        <v>34</v>
      </c>
      <c r="D153" s="20" t="s">
        <v>35</v>
      </c>
      <c r="E153" s="20">
        <v>396</v>
      </c>
      <c r="F153" s="20">
        <v>400</v>
      </c>
    </row>
    <row r="154" spans="1:6" x14ac:dyDescent="0.3">
      <c r="A154" s="19" t="s">
        <v>51</v>
      </c>
      <c r="B154" s="19" t="s">
        <v>31</v>
      </c>
      <c r="C154" s="19" t="s">
        <v>34</v>
      </c>
      <c r="D154" s="19" t="s">
        <v>35</v>
      </c>
      <c r="E154" s="19">
        <v>381</v>
      </c>
      <c r="F154" s="19">
        <v>400</v>
      </c>
    </row>
    <row r="155" spans="1:6" x14ac:dyDescent="0.3">
      <c r="A155" s="20" t="s">
        <v>52</v>
      </c>
      <c r="B155" s="20" t="s">
        <v>27</v>
      </c>
      <c r="C155" s="20" t="s">
        <v>28</v>
      </c>
      <c r="D155" s="20" t="s">
        <v>29</v>
      </c>
      <c r="E155" s="20">
        <v>309</v>
      </c>
      <c r="F155" s="20">
        <v>320</v>
      </c>
    </row>
    <row r="156" spans="1:6" x14ac:dyDescent="0.3">
      <c r="A156" s="19" t="s">
        <v>52</v>
      </c>
      <c r="B156" s="19" t="s">
        <v>30</v>
      </c>
      <c r="C156" s="19" t="s">
        <v>28</v>
      </c>
      <c r="D156" s="19" t="s">
        <v>29</v>
      </c>
      <c r="E156" s="19">
        <v>288</v>
      </c>
      <c r="F156" s="19">
        <v>320</v>
      </c>
    </row>
    <row r="157" spans="1:6" x14ac:dyDescent="0.3">
      <c r="A157" s="20" t="s">
        <v>52</v>
      </c>
      <c r="B157" s="20" t="s">
        <v>31</v>
      </c>
      <c r="C157" s="20" t="s">
        <v>28</v>
      </c>
      <c r="D157" s="20" t="s">
        <v>29</v>
      </c>
      <c r="E157" s="20">
        <v>293</v>
      </c>
      <c r="F157" s="20">
        <v>320</v>
      </c>
    </row>
    <row r="158" spans="1:6" x14ac:dyDescent="0.3">
      <c r="A158" s="19" t="s">
        <v>52</v>
      </c>
      <c r="B158" s="19" t="s">
        <v>27</v>
      </c>
      <c r="C158" s="19" t="s">
        <v>32</v>
      </c>
      <c r="D158" s="19" t="s">
        <v>33</v>
      </c>
      <c r="E158" s="19">
        <v>163</v>
      </c>
      <c r="F158" s="19">
        <v>200</v>
      </c>
    </row>
    <row r="159" spans="1:6" x14ac:dyDescent="0.3">
      <c r="A159" s="20" t="s">
        <v>52</v>
      </c>
      <c r="B159" s="20" t="s">
        <v>30</v>
      </c>
      <c r="C159" s="20" t="s">
        <v>32</v>
      </c>
      <c r="D159" s="20" t="s">
        <v>33</v>
      </c>
      <c r="E159" s="20">
        <v>173</v>
      </c>
      <c r="F159" s="20">
        <v>200</v>
      </c>
    </row>
    <row r="160" spans="1:6" x14ac:dyDescent="0.3">
      <c r="A160" s="19" t="s">
        <v>52</v>
      </c>
      <c r="B160" s="19" t="s">
        <v>31</v>
      </c>
      <c r="C160" s="19" t="s">
        <v>32</v>
      </c>
      <c r="D160" s="19" t="s">
        <v>33</v>
      </c>
      <c r="E160" s="19">
        <v>159</v>
      </c>
      <c r="F160" s="19">
        <v>200</v>
      </c>
    </row>
    <row r="161" spans="1:6" x14ac:dyDescent="0.3">
      <c r="A161" s="20" t="s">
        <v>52</v>
      </c>
      <c r="B161" s="20" t="s">
        <v>27</v>
      </c>
      <c r="C161" s="20" t="s">
        <v>34</v>
      </c>
      <c r="D161" s="20" t="s">
        <v>35</v>
      </c>
      <c r="E161" s="20">
        <v>366</v>
      </c>
      <c r="F161" s="20">
        <v>400</v>
      </c>
    </row>
    <row r="162" spans="1:6" x14ac:dyDescent="0.3">
      <c r="A162" s="19" t="s">
        <v>52</v>
      </c>
      <c r="B162" s="19" t="s">
        <v>30</v>
      </c>
      <c r="C162" s="19" t="s">
        <v>34</v>
      </c>
      <c r="D162" s="19" t="s">
        <v>35</v>
      </c>
      <c r="E162" s="19">
        <v>356</v>
      </c>
      <c r="F162" s="19">
        <v>400</v>
      </c>
    </row>
    <row r="163" spans="1:6" x14ac:dyDescent="0.3">
      <c r="A163" s="20" t="s">
        <v>52</v>
      </c>
      <c r="B163" s="20" t="s">
        <v>31</v>
      </c>
      <c r="C163" s="20" t="s">
        <v>34</v>
      </c>
      <c r="D163" s="20" t="s">
        <v>35</v>
      </c>
      <c r="E163" s="20">
        <v>394</v>
      </c>
      <c r="F163" s="20">
        <v>400</v>
      </c>
    </row>
    <row r="164" spans="1:6" x14ac:dyDescent="0.3">
      <c r="A164" s="19" t="s">
        <v>53</v>
      </c>
      <c r="B164" s="19" t="s">
        <v>27</v>
      </c>
      <c r="C164" s="19" t="s">
        <v>28</v>
      </c>
      <c r="D164" s="19" t="s">
        <v>29</v>
      </c>
      <c r="E164" s="19">
        <v>294</v>
      </c>
      <c r="F164" s="19">
        <v>320</v>
      </c>
    </row>
    <row r="165" spans="1:6" x14ac:dyDescent="0.3">
      <c r="A165" s="20" t="s">
        <v>53</v>
      </c>
      <c r="B165" s="20" t="s">
        <v>30</v>
      </c>
      <c r="C165" s="20" t="s">
        <v>28</v>
      </c>
      <c r="D165" s="20" t="s">
        <v>29</v>
      </c>
      <c r="E165" s="20">
        <v>330</v>
      </c>
      <c r="F165" s="20">
        <v>320</v>
      </c>
    </row>
    <row r="166" spans="1:6" x14ac:dyDescent="0.3">
      <c r="A166" s="19" t="s">
        <v>53</v>
      </c>
      <c r="B166" s="19" t="s">
        <v>31</v>
      </c>
      <c r="C166" s="19" t="s">
        <v>28</v>
      </c>
      <c r="D166" s="19" t="s">
        <v>29</v>
      </c>
      <c r="E166" s="19">
        <v>328</v>
      </c>
      <c r="F166" s="19">
        <v>320</v>
      </c>
    </row>
    <row r="167" spans="1:6" x14ac:dyDescent="0.3">
      <c r="A167" s="20" t="s">
        <v>53</v>
      </c>
      <c r="B167" s="20" t="s">
        <v>27</v>
      </c>
      <c r="C167" s="20" t="s">
        <v>32</v>
      </c>
      <c r="D167" s="20" t="s">
        <v>33</v>
      </c>
      <c r="E167" s="20">
        <v>152</v>
      </c>
      <c r="F167" s="20">
        <v>200</v>
      </c>
    </row>
    <row r="168" spans="1:6" x14ac:dyDescent="0.3">
      <c r="A168" s="19" t="s">
        <v>53</v>
      </c>
      <c r="B168" s="19" t="s">
        <v>30</v>
      </c>
      <c r="C168" s="19" t="s">
        <v>32</v>
      </c>
      <c r="D168" s="19" t="s">
        <v>33</v>
      </c>
      <c r="E168" s="19">
        <v>159</v>
      </c>
      <c r="F168" s="19">
        <v>200</v>
      </c>
    </row>
    <row r="169" spans="1:6" x14ac:dyDescent="0.3">
      <c r="A169" s="20" t="s">
        <v>53</v>
      </c>
      <c r="B169" s="20" t="s">
        <v>31</v>
      </c>
      <c r="C169" s="20" t="s">
        <v>32</v>
      </c>
      <c r="D169" s="20" t="s">
        <v>33</v>
      </c>
      <c r="E169" s="20">
        <v>176</v>
      </c>
      <c r="F169" s="20">
        <v>200</v>
      </c>
    </row>
    <row r="170" spans="1:6" x14ac:dyDescent="0.3">
      <c r="A170" s="19" t="s">
        <v>53</v>
      </c>
      <c r="B170" s="19" t="s">
        <v>27</v>
      </c>
      <c r="C170" s="19" t="s">
        <v>34</v>
      </c>
      <c r="D170" s="19" t="s">
        <v>35</v>
      </c>
      <c r="E170" s="19">
        <v>366</v>
      </c>
      <c r="F170" s="19">
        <v>400</v>
      </c>
    </row>
    <row r="171" spans="1:6" x14ac:dyDescent="0.3">
      <c r="A171" s="20" t="s">
        <v>53</v>
      </c>
      <c r="B171" s="20" t="s">
        <v>30</v>
      </c>
      <c r="C171" s="20" t="s">
        <v>34</v>
      </c>
      <c r="D171" s="20" t="s">
        <v>35</v>
      </c>
      <c r="E171" s="20">
        <v>360</v>
      </c>
      <c r="F171" s="20">
        <v>400</v>
      </c>
    </row>
    <row r="172" spans="1:6" x14ac:dyDescent="0.3">
      <c r="A172" s="19" t="s">
        <v>53</v>
      </c>
      <c r="B172" s="19" t="s">
        <v>31</v>
      </c>
      <c r="C172" s="19" t="s">
        <v>34</v>
      </c>
      <c r="D172" s="19" t="s">
        <v>35</v>
      </c>
      <c r="E172" s="19">
        <v>415</v>
      </c>
      <c r="F172" s="19">
        <v>400</v>
      </c>
    </row>
    <row r="173" spans="1:6" x14ac:dyDescent="0.3">
      <c r="A173" s="20" t="s">
        <v>54</v>
      </c>
      <c r="B173" s="20" t="s">
        <v>27</v>
      </c>
      <c r="C173" s="20" t="s">
        <v>28</v>
      </c>
      <c r="D173" s="20" t="s">
        <v>29</v>
      </c>
      <c r="E173" s="20">
        <v>312</v>
      </c>
      <c r="F173" s="20">
        <v>320</v>
      </c>
    </row>
    <row r="174" spans="1:6" x14ac:dyDescent="0.3">
      <c r="A174" s="19" t="s">
        <v>54</v>
      </c>
      <c r="B174" s="19" t="s">
        <v>30</v>
      </c>
      <c r="C174" s="19" t="s">
        <v>28</v>
      </c>
      <c r="D174" s="19" t="s">
        <v>29</v>
      </c>
      <c r="E174" s="19">
        <v>307</v>
      </c>
      <c r="F174" s="19">
        <v>320</v>
      </c>
    </row>
    <row r="175" spans="1:6" x14ac:dyDescent="0.3">
      <c r="A175" s="20" t="s">
        <v>54</v>
      </c>
      <c r="B175" s="20" t="s">
        <v>31</v>
      </c>
      <c r="C175" s="20" t="s">
        <v>28</v>
      </c>
      <c r="D175" s="20" t="s">
        <v>29</v>
      </c>
      <c r="E175" s="20">
        <v>324</v>
      </c>
      <c r="F175" s="20">
        <v>320</v>
      </c>
    </row>
    <row r="176" spans="1:6" x14ac:dyDescent="0.3">
      <c r="A176" s="19" t="s">
        <v>54</v>
      </c>
      <c r="B176" s="19" t="s">
        <v>27</v>
      </c>
      <c r="C176" s="19" t="s">
        <v>32</v>
      </c>
      <c r="D176" s="19" t="s">
        <v>33</v>
      </c>
      <c r="E176" s="19">
        <v>182</v>
      </c>
      <c r="F176" s="19">
        <v>200</v>
      </c>
    </row>
    <row r="177" spans="1:6" x14ac:dyDescent="0.3">
      <c r="A177" s="20" t="s">
        <v>54</v>
      </c>
      <c r="B177" s="20" t="s">
        <v>30</v>
      </c>
      <c r="C177" s="20" t="s">
        <v>32</v>
      </c>
      <c r="D177" s="20" t="s">
        <v>33</v>
      </c>
      <c r="E177" s="20">
        <v>157</v>
      </c>
      <c r="F177" s="20">
        <v>200</v>
      </c>
    </row>
    <row r="178" spans="1:6" x14ac:dyDescent="0.3">
      <c r="A178" s="19" t="s">
        <v>54</v>
      </c>
      <c r="B178" s="19" t="s">
        <v>31</v>
      </c>
      <c r="C178" s="19" t="s">
        <v>32</v>
      </c>
      <c r="D178" s="19" t="s">
        <v>33</v>
      </c>
      <c r="E178" s="19">
        <v>153</v>
      </c>
      <c r="F178" s="19">
        <v>200</v>
      </c>
    </row>
    <row r="179" spans="1:6" x14ac:dyDescent="0.3">
      <c r="A179" s="20" t="s">
        <v>54</v>
      </c>
      <c r="B179" s="20" t="s">
        <v>27</v>
      </c>
      <c r="C179" s="20" t="s">
        <v>34</v>
      </c>
      <c r="D179" s="20" t="s">
        <v>35</v>
      </c>
      <c r="E179" s="20">
        <v>381</v>
      </c>
      <c r="F179" s="20">
        <v>400</v>
      </c>
    </row>
    <row r="180" spans="1:6" x14ac:dyDescent="0.3">
      <c r="A180" s="19" t="s">
        <v>54</v>
      </c>
      <c r="B180" s="19" t="s">
        <v>30</v>
      </c>
      <c r="C180" s="19" t="s">
        <v>34</v>
      </c>
      <c r="D180" s="19" t="s">
        <v>35</v>
      </c>
      <c r="E180" s="19">
        <v>380</v>
      </c>
      <c r="F180" s="19">
        <v>400</v>
      </c>
    </row>
    <row r="181" spans="1:6" x14ac:dyDescent="0.3">
      <c r="A181" s="20" t="s">
        <v>54</v>
      </c>
      <c r="B181" s="20" t="s">
        <v>31</v>
      </c>
      <c r="C181" s="20" t="s">
        <v>34</v>
      </c>
      <c r="D181" s="20" t="s">
        <v>35</v>
      </c>
      <c r="E181" s="20">
        <v>383</v>
      </c>
      <c r="F181" s="20">
        <v>400</v>
      </c>
    </row>
    <row r="182" spans="1:6" x14ac:dyDescent="0.3">
      <c r="A182" s="19" t="s">
        <v>55</v>
      </c>
      <c r="B182" s="19" t="s">
        <v>27</v>
      </c>
      <c r="C182" s="19" t="s">
        <v>28</v>
      </c>
      <c r="D182" s="19" t="s">
        <v>29</v>
      </c>
      <c r="E182" s="19">
        <v>321</v>
      </c>
      <c r="F182" s="19">
        <v>320</v>
      </c>
    </row>
    <row r="183" spans="1:6" x14ac:dyDescent="0.3">
      <c r="A183" s="20" t="s">
        <v>55</v>
      </c>
      <c r="B183" s="20" t="s">
        <v>30</v>
      </c>
      <c r="C183" s="20" t="s">
        <v>28</v>
      </c>
      <c r="D183" s="20" t="s">
        <v>29</v>
      </c>
      <c r="E183" s="20">
        <v>318</v>
      </c>
      <c r="F183" s="20">
        <v>320</v>
      </c>
    </row>
    <row r="184" spans="1:6" x14ac:dyDescent="0.3">
      <c r="A184" s="19" t="s">
        <v>55</v>
      </c>
      <c r="B184" s="19" t="s">
        <v>31</v>
      </c>
      <c r="C184" s="19" t="s">
        <v>28</v>
      </c>
      <c r="D184" s="19" t="s">
        <v>29</v>
      </c>
      <c r="E184" s="19">
        <v>335</v>
      </c>
      <c r="F184" s="19">
        <v>320</v>
      </c>
    </row>
    <row r="185" spans="1:6" x14ac:dyDescent="0.3">
      <c r="A185" s="20" t="s">
        <v>55</v>
      </c>
      <c r="B185" s="20" t="s">
        <v>27</v>
      </c>
      <c r="C185" s="20" t="s">
        <v>32</v>
      </c>
      <c r="D185" s="20" t="s">
        <v>33</v>
      </c>
      <c r="E185" s="20">
        <v>153</v>
      </c>
      <c r="F185" s="20">
        <v>200</v>
      </c>
    </row>
    <row r="186" spans="1:6" x14ac:dyDescent="0.3">
      <c r="A186" s="19" t="s">
        <v>55</v>
      </c>
      <c r="B186" s="19" t="s">
        <v>30</v>
      </c>
      <c r="C186" s="19" t="s">
        <v>32</v>
      </c>
      <c r="D186" s="19" t="s">
        <v>33</v>
      </c>
      <c r="E186" s="19">
        <v>166</v>
      </c>
      <c r="F186" s="19">
        <v>200</v>
      </c>
    </row>
    <row r="187" spans="1:6" x14ac:dyDescent="0.3">
      <c r="A187" s="20" t="s">
        <v>55</v>
      </c>
      <c r="B187" s="20" t="s">
        <v>31</v>
      </c>
      <c r="C187" s="20" t="s">
        <v>32</v>
      </c>
      <c r="D187" s="20" t="s">
        <v>33</v>
      </c>
      <c r="E187" s="20">
        <v>163</v>
      </c>
      <c r="F187" s="20">
        <v>200</v>
      </c>
    </row>
    <row r="188" spans="1:6" x14ac:dyDescent="0.3">
      <c r="A188" s="19" t="s">
        <v>55</v>
      </c>
      <c r="B188" s="19" t="s">
        <v>27</v>
      </c>
      <c r="C188" s="19" t="s">
        <v>34</v>
      </c>
      <c r="D188" s="19" t="s">
        <v>35</v>
      </c>
      <c r="E188" s="19">
        <v>410</v>
      </c>
      <c r="F188" s="19">
        <v>400</v>
      </c>
    </row>
    <row r="189" spans="1:6" x14ac:dyDescent="0.3">
      <c r="A189" s="20" t="s">
        <v>55</v>
      </c>
      <c r="B189" s="20" t="s">
        <v>30</v>
      </c>
      <c r="C189" s="20" t="s">
        <v>34</v>
      </c>
      <c r="D189" s="20" t="s">
        <v>35</v>
      </c>
      <c r="E189" s="20">
        <v>368</v>
      </c>
      <c r="F189" s="20">
        <v>400</v>
      </c>
    </row>
    <row r="190" spans="1:6" x14ac:dyDescent="0.3">
      <c r="A190" s="19" t="s">
        <v>55</v>
      </c>
      <c r="B190" s="19" t="s">
        <v>31</v>
      </c>
      <c r="C190" s="19" t="s">
        <v>34</v>
      </c>
      <c r="D190" s="19" t="s">
        <v>35</v>
      </c>
      <c r="E190" s="19">
        <v>364</v>
      </c>
      <c r="F190" s="19">
        <v>400</v>
      </c>
    </row>
    <row r="191" spans="1:6" x14ac:dyDescent="0.3">
      <c r="A191" s="20" t="s">
        <v>56</v>
      </c>
      <c r="B191" s="20" t="s">
        <v>27</v>
      </c>
      <c r="C191" s="20" t="s">
        <v>28</v>
      </c>
      <c r="D191" s="20" t="s">
        <v>29</v>
      </c>
      <c r="E191" s="20">
        <v>306</v>
      </c>
      <c r="F191" s="20">
        <v>320</v>
      </c>
    </row>
    <row r="192" spans="1:6" x14ac:dyDescent="0.3">
      <c r="A192" s="19" t="s">
        <v>56</v>
      </c>
      <c r="B192" s="19" t="s">
        <v>30</v>
      </c>
      <c r="C192" s="19" t="s">
        <v>28</v>
      </c>
      <c r="D192" s="19" t="s">
        <v>29</v>
      </c>
      <c r="E192" s="19">
        <v>304</v>
      </c>
      <c r="F192" s="19">
        <v>320</v>
      </c>
    </row>
    <row r="193" spans="1:6" x14ac:dyDescent="0.3">
      <c r="A193" s="20" t="s">
        <v>56</v>
      </c>
      <c r="B193" s="20" t="s">
        <v>31</v>
      </c>
      <c r="C193" s="20" t="s">
        <v>28</v>
      </c>
      <c r="D193" s="20" t="s">
        <v>29</v>
      </c>
      <c r="E193" s="20">
        <v>296</v>
      </c>
      <c r="F193" s="20">
        <v>320</v>
      </c>
    </row>
    <row r="194" spans="1:6" x14ac:dyDescent="0.3">
      <c r="A194" s="19" t="s">
        <v>56</v>
      </c>
      <c r="B194" s="19" t="s">
        <v>27</v>
      </c>
      <c r="C194" s="19" t="s">
        <v>32</v>
      </c>
      <c r="D194" s="19" t="s">
        <v>33</v>
      </c>
      <c r="E194" s="19">
        <v>159</v>
      </c>
      <c r="F194" s="19">
        <v>200</v>
      </c>
    </row>
    <row r="195" spans="1:6" x14ac:dyDescent="0.3">
      <c r="A195" s="20" t="s">
        <v>56</v>
      </c>
      <c r="B195" s="20" t="s">
        <v>30</v>
      </c>
      <c r="C195" s="20" t="s">
        <v>32</v>
      </c>
      <c r="D195" s="20" t="s">
        <v>33</v>
      </c>
      <c r="E195" s="20">
        <v>186</v>
      </c>
      <c r="F195" s="20">
        <v>200</v>
      </c>
    </row>
    <row r="196" spans="1:6" x14ac:dyDescent="0.3">
      <c r="A196" s="19" t="s">
        <v>56</v>
      </c>
      <c r="B196" s="19" t="s">
        <v>31</v>
      </c>
      <c r="C196" s="19" t="s">
        <v>32</v>
      </c>
      <c r="D196" s="19" t="s">
        <v>33</v>
      </c>
      <c r="E196" s="19">
        <v>167</v>
      </c>
      <c r="F196" s="19">
        <v>200</v>
      </c>
    </row>
    <row r="197" spans="1:6" x14ac:dyDescent="0.3">
      <c r="A197" s="20" t="s">
        <v>56</v>
      </c>
      <c r="B197" s="20" t="s">
        <v>27</v>
      </c>
      <c r="C197" s="20" t="s">
        <v>34</v>
      </c>
      <c r="D197" s="20" t="s">
        <v>35</v>
      </c>
      <c r="E197" s="20">
        <v>410</v>
      </c>
      <c r="F197" s="20">
        <v>400</v>
      </c>
    </row>
    <row r="198" spans="1:6" x14ac:dyDescent="0.3">
      <c r="A198" s="19" t="s">
        <v>56</v>
      </c>
      <c r="B198" s="19" t="s">
        <v>30</v>
      </c>
      <c r="C198" s="19" t="s">
        <v>34</v>
      </c>
      <c r="D198" s="19" t="s">
        <v>35</v>
      </c>
      <c r="E198" s="19">
        <v>389</v>
      </c>
      <c r="F198" s="19">
        <v>400</v>
      </c>
    </row>
    <row r="199" spans="1:6" x14ac:dyDescent="0.3">
      <c r="A199" s="20" t="s">
        <v>56</v>
      </c>
      <c r="B199" s="20" t="s">
        <v>31</v>
      </c>
      <c r="C199" s="20" t="s">
        <v>34</v>
      </c>
      <c r="D199" s="20" t="s">
        <v>35</v>
      </c>
      <c r="E199" s="20">
        <v>355</v>
      </c>
      <c r="F199" s="20">
        <v>400</v>
      </c>
    </row>
    <row r="200" spans="1:6" x14ac:dyDescent="0.3">
      <c r="A200" s="19" t="s">
        <v>57</v>
      </c>
      <c r="B200" s="19" t="s">
        <v>27</v>
      </c>
      <c r="C200" s="19" t="s">
        <v>28</v>
      </c>
      <c r="D200" s="19" t="s">
        <v>29</v>
      </c>
      <c r="E200" s="19">
        <v>335</v>
      </c>
      <c r="F200" s="19">
        <v>320</v>
      </c>
    </row>
    <row r="201" spans="1:6" x14ac:dyDescent="0.3">
      <c r="A201" s="20" t="s">
        <v>57</v>
      </c>
      <c r="B201" s="20" t="s">
        <v>30</v>
      </c>
      <c r="C201" s="20" t="s">
        <v>28</v>
      </c>
      <c r="D201" s="20" t="s">
        <v>29</v>
      </c>
      <c r="E201" s="20">
        <v>327</v>
      </c>
      <c r="F201" s="20">
        <v>320</v>
      </c>
    </row>
    <row r="202" spans="1:6" x14ac:dyDescent="0.3">
      <c r="A202" s="19" t="s">
        <v>57</v>
      </c>
      <c r="B202" s="19" t="s">
        <v>31</v>
      </c>
      <c r="C202" s="19" t="s">
        <v>28</v>
      </c>
      <c r="D202" s="19" t="s">
        <v>29</v>
      </c>
      <c r="E202" s="19">
        <v>334</v>
      </c>
      <c r="F202" s="19">
        <v>320</v>
      </c>
    </row>
    <row r="203" spans="1:6" x14ac:dyDescent="0.3">
      <c r="A203" s="20" t="s">
        <v>57</v>
      </c>
      <c r="B203" s="20" t="s">
        <v>27</v>
      </c>
      <c r="C203" s="20" t="s">
        <v>32</v>
      </c>
      <c r="D203" s="20" t="s">
        <v>33</v>
      </c>
      <c r="E203" s="20">
        <v>187</v>
      </c>
      <c r="F203" s="20">
        <v>200</v>
      </c>
    </row>
    <row r="204" spans="1:6" x14ac:dyDescent="0.3">
      <c r="A204" s="19" t="s">
        <v>57</v>
      </c>
      <c r="B204" s="19" t="s">
        <v>30</v>
      </c>
      <c r="C204" s="19" t="s">
        <v>32</v>
      </c>
      <c r="D204" s="19" t="s">
        <v>33</v>
      </c>
      <c r="E204" s="19">
        <v>183</v>
      </c>
      <c r="F204" s="19">
        <v>200</v>
      </c>
    </row>
    <row r="205" spans="1:6" x14ac:dyDescent="0.3">
      <c r="A205" s="20" t="s">
        <v>57</v>
      </c>
      <c r="B205" s="20" t="s">
        <v>31</v>
      </c>
      <c r="C205" s="20" t="s">
        <v>32</v>
      </c>
      <c r="D205" s="20" t="s">
        <v>33</v>
      </c>
      <c r="E205" s="20">
        <v>156</v>
      </c>
      <c r="F205" s="20">
        <v>200</v>
      </c>
    </row>
    <row r="206" spans="1:6" x14ac:dyDescent="0.3">
      <c r="A206" s="19" t="s">
        <v>57</v>
      </c>
      <c r="B206" s="19" t="s">
        <v>27</v>
      </c>
      <c r="C206" s="19" t="s">
        <v>34</v>
      </c>
      <c r="D206" s="19" t="s">
        <v>35</v>
      </c>
      <c r="E206" s="19">
        <v>385</v>
      </c>
      <c r="F206" s="19">
        <v>400</v>
      </c>
    </row>
    <row r="207" spans="1:6" x14ac:dyDescent="0.3">
      <c r="A207" s="20" t="s">
        <v>57</v>
      </c>
      <c r="B207" s="20" t="s">
        <v>30</v>
      </c>
      <c r="C207" s="20" t="s">
        <v>34</v>
      </c>
      <c r="D207" s="20" t="s">
        <v>35</v>
      </c>
      <c r="E207" s="20">
        <v>366</v>
      </c>
      <c r="F207" s="20">
        <v>400</v>
      </c>
    </row>
    <row r="208" spans="1:6" x14ac:dyDescent="0.3">
      <c r="A208" s="19" t="s">
        <v>57</v>
      </c>
      <c r="B208" s="19" t="s">
        <v>31</v>
      </c>
      <c r="C208" s="19" t="s">
        <v>34</v>
      </c>
      <c r="D208" s="19" t="s">
        <v>35</v>
      </c>
      <c r="E208" s="19">
        <v>379</v>
      </c>
      <c r="F208" s="19">
        <v>400</v>
      </c>
    </row>
    <row r="209" spans="1:6" x14ac:dyDescent="0.3">
      <c r="A209" s="20" t="s">
        <v>58</v>
      </c>
      <c r="B209" s="20" t="s">
        <v>27</v>
      </c>
      <c r="C209" s="20" t="s">
        <v>28</v>
      </c>
      <c r="D209" s="20" t="s">
        <v>29</v>
      </c>
      <c r="E209" s="20">
        <v>284</v>
      </c>
      <c r="F209" s="20">
        <v>320</v>
      </c>
    </row>
    <row r="210" spans="1:6" x14ac:dyDescent="0.3">
      <c r="A210" s="19" t="s">
        <v>58</v>
      </c>
      <c r="B210" s="19" t="s">
        <v>30</v>
      </c>
      <c r="C210" s="19" t="s">
        <v>28</v>
      </c>
      <c r="D210" s="19" t="s">
        <v>29</v>
      </c>
      <c r="E210" s="19">
        <v>302</v>
      </c>
      <c r="F210" s="19">
        <v>320</v>
      </c>
    </row>
    <row r="211" spans="1:6" x14ac:dyDescent="0.3">
      <c r="A211" s="20" t="s">
        <v>58</v>
      </c>
      <c r="B211" s="20" t="s">
        <v>31</v>
      </c>
      <c r="C211" s="20" t="s">
        <v>28</v>
      </c>
      <c r="D211" s="20" t="s">
        <v>29</v>
      </c>
      <c r="E211" s="20">
        <v>335</v>
      </c>
      <c r="F211" s="20">
        <v>320</v>
      </c>
    </row>
    <row r="212" spans="1:6" x14ac:dyDescent="0.3">
      <c r="A212" s="19" t="s">
        <v>58</v>
      </c>
      <c r="B212" s="19" t="s">
        <v>27</v>
      </c>
      <c r="C212" s="19" t="s">
        <v>32</v>
      </c>
      <c r="D212" s="19" t="s">
        <v>33</v>
      </c>
      <c r="E212" s="19">
        <v>160</v>
      </c>
      <c r="F212" s="19">
        <v>200</v>
      </c>
    </row>
    <row r="213" spans="1:6" x14ac:dyDescent="0.3">
      <c r="A213" s="20" t="s">
        <v>58</v>
      </c>
      <c r="B213" s="20" t="s">
        <v>30</v>
      </c>
      <c r="C213" s="20" t="s">
        <v>32</v>
      </c>
      <c r="D213" s="20" t="s">
        <v>33</v>
      </c>
      <c r="E213" s="20">
        <v>181</v>
      </c>
      <c r="F213" s="20">
        <v>200</v>
      </c>
    </row>
    <row r="214" spans="1:6" x14ac:dyDescent="0.3">
      <c r="A214" s="19" t="s">
        <v>58</v>
      </c>
      <c r="B214" s="19" t="s">
        <v>31</v>
      </c>
      <c r="C214" s="19" t="s">
        <v>32</v>
      </c>
      <c r="D214" s="19" t="s">
        <v>33</v>
      </c>
      <c r="E214" s="19">
        <v>168</v>
      </c>
      <c r="F214" s="19">
        <v>200</v>
      </c>
    </row>
    <row r="215" spans="1:6" x14ac:dyDescent="0.3">
      <c r="A215" s="20" t="s">
        <v>58</v>
      </c>
      <c r="B215" s="20" t="s">
        <v>27</v>
      </c>
      <c r="C215" s="20" t="s">
        <v>34</v>
      </c>
      <c r="D215" s="20" t="s">
        <v>35</v>
      </c>
      <c r="E215" s="20">
        <v>380</v>
      </c>
      <c r="F215" s="20">
        <v>400</v>
      </c>
    </row>
    <row r="216" spans="1:6" x14ac:dyDescent="0.3">
      <c r="A216" s="19" t="s">
        <v>58</v>
      </c>
      <c r="B216" s="19" t="s">
        <v>30</v>
      </c>
      <c r="C216" s="19" t="s">
        <v>34</v>
      </c>
      <c r="D216" s="19" t="s">
        <v>35</v>
      </c>
      <c r="E216" s="19">
        <v>417</v>
      </c>
      <c r="F216" s="19">
        <v>400</v>
      </c>
    </row>
    <row r="217" spans="1:6" x14ac:dyDescent="0.3">
      <c r="A217" s="20" t="s">
        <v>58</v>
      </c>
      <c r="B217" s="20" t="s">
        <v>31</v>
      </c>
      <c r="C217" s="20" t="s">
        <v>34</v>
      </c>
      <c r="D217" s="20" t="s">
        <v>35</v>
      </c>
      <c r="E217" s="20">
        <v>419</v>
      </c>
      <c r="F217" s="20">
        <v>400</v>
      </c>
    </row>
    <row r="218" spans="1:6" x14ac:dyDescent="0.3">
      <c r="A218" s="19" t="s">
        <v>59</v>
      </c>
      <c r="B218" s="19" t="s">
        <v>27</v>
      </c>
      <c r="C218" s="19" t="s">
        <v>28</v>
      </c>
      <c r="D218" s="19" t="s">
        <v>29</v>
      </c>
      <c r="E218" s="19">
        <v>311</v>
      </c>
      <c r="F218" s="19">
        <v>320</v>
      </c>
    </row>
    <row r="219" spans="1:6" x14ac:dyDescent="0.3">
      <c r="A219" s="20" t="s">
        <v>59</v>
      </c>
      <c r="B219" s="20" t="s">
        <v>30</v>
      </c>
      <c r="C219" s="20" t="s">
        <v>28</v>
      </c>
      <c r="D219" s="20" t="s">
        <v>29</v>
      </c>
      <c r="E219" s="20">
        <v>320</v>
      </c>
      <c r="F219" s="20">
        <v>320</v>
      </c>
    </row>
    <row r="220" spans="1:6" x14ac:dyDescent="0.3">
      <c r="A220" s="19" t="s">
        <v>59</v>
      </c>
      <c r="B220" s="19" t="s">
        <v>31</v>
      </c>
      <c r="C220" s="19" t="s">
        <v>28</v>
      </c>
      <c r="D220" s="19" t="s">
        <v>29</v>
      </c>
      <c r="E220" s="19">
        <v>290</v>
      </c>
      <c r="F220" s="19">
        <v>320</v>
      </c>
    </row>
    <row r="221" spans="1:6" x14ac:dyDescent="0.3">
      <c r="A221" s="20" t="s">
        <v>59</v>
      </c>
      <c r="B221" s="20" t="s">
        <v>27</v>
      </c>
      <c r="C221" s="20" t="s">
        <v>32</v>
      </c>
      <c r="D221" s="20" t="s">
        <v>33</v>
      </c>
      <c r="E221" s="20">
        <v>161</v>
      </c>
      <c r="F221" s="20">
        <v>200</v>
      </c>
    </row>
    <row r="222" spans="1:6" x14ac:dyDescent="0.3">
      <c r="A222" s="19" t="s">
        <v>59</v>
      </c>
      <c r="B222" s="19" t="s">
        <v>30</v>
      </c>
      <c r="C222" s="19" t="s">
        <v>32</v>
      </c>
      <c r="D222" s="19" t="s">
        <v>33</v>
      </c>
      <c r="E222" s="19">
        <v>188</v>
      </c>
      <c r="F222" s="19">
        <v>200</v>
      </c>
    </row>
    <row r="223" spans="1:6" x14ac:dyDescent="0.3">
      <c r="A223" s="20" t="s">
        <v>59</v>
      </c>
      <c r="B223" s="20" t="s">
        <v>31</v>
      </c>
      <c r="C223" s="20" t="s">
        <v>32</v>
      </c>
      <c r="D223" s="20" t="s">
        <v>33</v>
      </c>
      <c r="E223" s="20">
        <v>173</v>
      </c>
      <c r="F223" s="20">
        <v>200</v>
      </c>
    </row>
    <row r="224" spans="1:6" x14ac:dyDescent="0.3">
      <c r="A224" s="19" t="s">
        <v>59</v>
      </c>
      <c r="B224" s="19" t="s">
        <v>27</v>
      </c>
      <c r="C224" s="19" t="s">
        <v>34</v>
      </c>
      <c r="D224" s="19" t="s">
        <v>35</v>
      </c>
      <c r="E224" s="19">
        <v>388</v>
      </c>
      <c r="F224" s="19">
        <v>400</v>
      </c>
    </row>
    <row r="225" spans="1:6" x14ac:dyDescent="0.3">
      <c r="A225" s="20" t="s">
        <v>59</v>
      </c>
      <c r="B225" s="20" t="s">
        <v>30</v>
      </c>
      <c r="C225" s="20" t="s">
        <v>34</v>
      </c>
      <c r="D225" s="20" t="s">
        <v>35</v>
      </c>
      <c r="E225" s="20">
        <v>402</v>
      </c>
      <c r="F225" s="20">
        <v>400</v>
      </c>
    </row>
    <row r="226" spans="1:6" x14ac:dyDescent="0.3">
      <c r="A226" s="19" t="s">
        <v>59</v>
      </c>
      <c r="B226" s="19" t="s">
        <v>31</v>
      </c>
      <c r="C226" s="19" t="s">
        <v>34</v>
      </c>
      <c r="D226" s="19" t="s">
        <v>35</v>
      </c>
      <c r="E226" s="19">
        <v>355</v>
      </c>
      <c r="F226" s="19">
        <v>400</v>
      </c>
    </row>
    <row r="227" spans="1:6" x14ac:dyDescent="0.3">
      <c r="A227" s="20" t="s">
        <v>60</v>
      </c>
      <c r="B227" s="20" t="s">
        <v>27</v>
      </c>
      <c r="C227" s="20" t="s">
        <v>28</v>
      </c>
      <c r="D227" s="20" t="s">
        <v>29</v>
      </c>
      <c r="E227" s="20">
        <v>313</v>
      </c>
      <c r="F227" s="20">
        <v>320</v>
      </c>
    </row>
    <row r="228" spans="1:6" x14ac:dyDescent="0.3">
      <c r="A228" s="19" t="s">
        <v>60</v>
      </c>
      <c r="B228" s="19" t="s">
        <v>30</v>
      </c>
      <c r="C228" s="19" t="s">
        <v>28</v>
      </c>
      <c r="D228" s="19" t="s">
        <v>29</v>
      </c>
      <c r="E228" s="19">
        <v>308</v>
      </c>
      <c r="F228" s="19">
        <v>320</v>
      </c>
    </row>
    <row r="229" spans="1:6" x14ac:dyDescent="0.3">
      <c r="A229" s="20" t="s">
        <v>60</v>
      </c>
      <c r="B229" s="20" t="s">
        <v>31</v>
      </c>
      <c r="C229" s="20" t="s">
        <v>28</v>
      </c>
      <c r="D229" s="20" t="s">
        <v>29</v>
      </c>
      <c r="E229" s="20">
        <v>327</v>
      </c>
      <c r="F229" s="20">
        <v>320</v>
      </c>
    </row>
    <row r="230" spans="1:6" x14ac:dyDescent="0.3">
      <c r="A230" s="19" t="s">
        <v>60</v>
      </c>
      <c r="B230" s="19" t="s">
        <v>27</v>
      </c>
      <c r="C230" s="19" t="s">
        <v>32</v>
      </c>
      <c r="D230" s="19" t="s">
        <v>33</v>
      </c>
      <c r="E230" s="19">
        <v>156</v>
      </c>
      <c r="F230" s="19">
        <v>200</v>
      </c>
    </row>
    <row r="231" spans="1:6" x14ac:dyDescent="0.3">
      <c r="A231" s="20" t="s">
        <v>60</v>
      </c>
      <c r="B231" s="20" t="s">
        <v>30</v>
      </c>
      <c r="C231" s="20" t="s">
        <v>32</v>
      </c>
      <c r="D231" s="20" t="s">
        <v>33</v>
      </c>
      <c r="E231" s="20">
        <v>188</v>
      </c>
      <c r="F231" s="20">
        <v>200</v>
      </c>
    </row>
    <row r="232" spans="1:6" x14ac:dyDescent="0.3">
      <c r="A232" s="19" t="s">
        <v>60</v>
      </c>
      <c r="B232" s="19" t="s">
        <v>31</v>
      </c>
      <c r="C232" s="19" t="s">
        <v>32</v>
      </c>
      <c r="D232" s="19" t="s">
        <v>33</v>
      </c>
      <c r="E232" s="19">
        <v>153</v>
      </c>
      <c r="F232" s="19">
        <v>200</v>
      </c>
    </row>
    <row r="233" spans="1:6" x14ac:dyDescent="0.3">
      <c r="A233" s="20" t="s">
        <v>60</v>
      </c>
      <c r="B233" s="20" t="s">
        <v>27</v>
      </c>
      <c r="C233" s="20" t="s">
        <v>34</v>
      </c>
      <c r="D233" s="20" t="s">
        <v>35</v>
      </c>
      <c r="E233" s="20">
        <v>364</v>
      </c>
      <c r="F233" s="20">
        <v>400</v>
      </c>
    </row>
    <row r="234" spans="1:6" x14ac:dyDescent="0.3">
      <c r="A234" s="19" t="s">
        <v>60</v>
      </c>
      <c r="B234" s="19" t="s">
        <v>30</v>
      </c>
      <c r="C234" s="19" t="s">
        <v>34</v>
      </c>
      <c r="D234" s="19" t="s">
        <v>35</v>
      </c>
      <c r="E234" s="19">
        <v>392</v>
      </c>
      <c r="F234" s="19">
        <v>400</v>
      </c>
    </row>
    <row r="235" spans="1:6" x14ac:dyDescent="0.3">
      <c r="A235" s="20" t="s">
        <v>60</v>
      </c>
      <c r="B235" s="20" t="s">
        <v>31</v>
      </c>
      <c r="C235" s="20" t="s">
        <v>34</v>
      </c>
      <c r="D235" s="20" t="s">
        <v>35</v>
      </c>
      <c r="E235" s="20">
        <v>397</v>
      </c>
      <c r="F235" s="20">
        <v>400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79"/>
  <sheetViews>
    <sheetView showGridLines="0" zoomScaleNormal="100" workbookViewId="0">
      <pane ySplit="1" topLeftCell="A2" activePane="bottomLeft" state="frozen"/>
      <selection pane="bottomLeft" activeCell="D25" sqref="D25"/>
    </sheetView>
  </sheetViews>
  <sheetFormatPr defaultColWidth="8.6640625" defaultRowHeight="14.4" x14ac:dyDescent="0.3"/>
  <cols>
    <col min="1" max="1" width="13" customWidth="1"/>
    <col min="2" max="2" width="10" customWidth="1"/>
    <col min="3" max="3" width="13" customWidth="1"/>
    <col min="4" max="4" width="15" customWidth="1"/>
    <col min="5" max="5" width="22" customWidth="1"/>
  </cols>
  <sheetData>
    <row r="1" spans="1:5" x14ac:dyDescent="0.3">
      <c r="A1" s="21" t="s">
        <v>20</v>
      </c>
      <c r="B1" s="21" t="s">
        <v>22</v>
      </c>
      <c r="C1" s="21" t="s">
        <v>23</v>
      </c>
      <c r="D1" s="21" t="s">
        <v>61</v>
      </c>
      <c r="E1" s="21" t="s">
        <v>62</v>
      </c>
    </row>
    <row r="2" spans="1:5" x14ac:dyDescent="0.3">
      <c r="A2" s="19" t="s">
        <v>26</v>
      </c>
      <c r="B2" s="19" t="s">
        <v>28</v>
      </c>
      <c r="C2" s="19" t="s">
        <v>29</v>
      </c>
      <c r="D2" s="19">
        <v>6</v>
      </c>
      <c r="E2" s="19" t="s">
        <v>63</v>
      </c>
    </row>
    <row r="3" spans="1:5" x14ac:dyDescent="0.3">
      <c r="A3" s="20" t="s">
        <v>26</v>
      </c>
      <c r="B3" s="20" t="s">
        <v>32</v>
      </c>
      <c r="C3" s="20" t="s">
        <v>33</v>
      </c>
      <c r="D3" s="20">
        <v>30</v>
      </c>
      <c r="E3" s="20" t="s">
        <v>64</v>
      </c>
    </row>
    <row r="4" spans="1:5" x14ac:dyDescent="0.3">
      <c r="A4" s="19" t="s">
        <v>26</v>
      </c>
      <c r="B4" s="19" t="s">
        <v>34</v>
      </c>
      <c r="C4" s="19" t="s">
        <v>35</v>
      </c>
      <c r="D4" s="19">
        <v>8</v>
      </c>
      <c r="E4" s="19" t="s">
        <v>65</v>
      </c>
    </row>
    <row r="5" spans="1:5" x14ac:dyDescent="0.3">
      <c r="A5" s="20" t="s">
        <v>36</v>
      </c>
      <c r="B5" s="20" t="s">
        <v>28</v>
      </c>
      <c r="C5" s="20" t="s">
        <v>29</v>
      </c>
      <c r="D5" s="20">
        <v>3</v>
      </c>
      <c r="E5" s="20" t="s">
        <v>63</v>
      </c>
    </row>
    <row r="6" spans="1:5" x14ac:dyDescent="0.3">
      <c r="A6" s="19" t="s">
        <v>36</v>
      </c>
      <c r="B6" s="19" t="s">
        <v>32</v>
      </c>
      <c r="C6" s="19" t="s">
        <v>33</v>
      </c>
      <c r="D6" s="19">
        <v>38</v>
      </c>
      <c r="E6" s="19" t="s">
        <v>64</v>
      </c>
    </row>
    <row r="7" spans="1:5" x14ac:dyDescent="0.3">
      <c r="A7" s="20" t="s">
        <v>36</v>
      </c>
      <c r="B7" s="20" t="s">
        <v>34</v>
      </c>
      <c r="C7" s="20" t="s">
        <v>35</v>
      </c>
      <c r="D7" s="20">
        <v>15</v>
      </c>
      <c r="E7" s="20" t="s">
        <v>66</v>
      </c>
    </row>
    <row r="8" spans="1:5" x14ac:dyDescent="0.3">
      <c r="A8" s="19" t="s">
        <v>37</v>
      </c>
      <c r="B8" s="19" t="s">
        <v>28</v>
      </c>
      <c r="C8" s="19" t="s">
        <v>29</v>
      </c>
      <c r="D8" s="19">
        <v>18</v>
      </c>
      <c r="E8" s="19" t="s">
        <v>63</v>
      </c>
    </row>
    <row r="9" spans="1:5" x14ac:dyDescent="0.3">
      <c r="A9" s="20" t="s">
        <v>37</v>
      </c>
      <c r="B9" s="20" t="s">
        <v>32</v>
      </c>
      <c r="C9" s="20" t="s">
        <v>33</v>
      </c>
      <c r="D9" s="20">
        <v>30</v>
      </c>
      <c r="E9" s="20" t="s">
        <v>63</v>
      </c>
    </row>
    <row r="10" spans="1:5" x14ac:dyDescent="0.3">
      <c r="A10" s="19" t="s">
        <v>37</v>
      </c>
      <c r="B10" s="19" t="s">
        <v>34</v>
      </c>
      <c r="C10" s="19" t="s">
        <v>35</v>
      </c>
      <c r="D10" s="19">
        <v>8</v>
      </c>
      <c r="E10" s="19" t="s">
        <v>66</v>
      </c>
    </row>
    <row r="11" spans="1:5" x14ac:dyDescent="0.3">
      <c r="A11" s="20" t="s">
        <v>38</v>
      </c>
      <c r="B11" s="20" t="s">
        <v>28</v>
      </c>
      <c r="C11" s="20" t="s">
        <v>29</v>
      </c>
      <c r="D11" s="20">
        <v>5</v>
      </c>
      <c r="E11" s="20" t="s">
        <v>67</v>
      </c>
    </row>
    <row r="12" spans="1:5" x14ac:dyDescent="0.3">
      <c r="A12" s="19" t="s">
        <v>38</v>
      </c>
      <c r="B12" s="19" t="s">
        <v>32</v>
      </c>
      <c r="C12" s="19" t="s">
        <v>33</v>
      </c>
      <c r="D12" s="19">
        <v>32</v>
      </c>
      <c r="E12" s="19" t="s">
        <v>63</v>
      </c>
    </row>
    <row r="13" spans="1:5" x14ac:dyDescent="0.3">
      <c r="A13" s="20" t="s">
        <v>38</v>
      </c>
      <c r="B13" s="20" t="s">
        <v>34</v>
      </c>
      <c r="C13" s="20" t="s">
        <v>35</v>
      </c>
      <c r="D13" s="20">
        <v>22</v>
      </c>
      <c r="E13" s="20" t="s">
        <v>63</v>
      </c>
    </row>
    <row r="14" spans="1:5" x14ac:dyDescent="0.3">
      <c r="A14" s="19" t="s">
        <v>39</v>
      </c>
      <c r="B14" s="19" t="s">
        <v>28</v>
      </c>
      <c r="C14" s="19" t="s">
        <v>29</v>
      </c>
      <c r="D14" s="19">
        <v>3</v>
      </c>
      <c r="E14" s="19" t="s">
        <v>67</v>
      </c>
    </row>
    <row r="15" spans="1:5" x14ac:dyDescent="0.3">
      <c r="A15" s="20" t="s">
        <v>39</v>
      </c>
      <c r="B15" s="20" t="s">
        <v>32</v>
      </c>
      <c r="C15" s="20" t="s">
        <v>33</v>
      </c>
      <c r="D15" s="20">
        <v>30</v>
      </c>
      <c r="E15" s="20" t="s">
        <v>68</v>
      </c>
    </row>
    <row r="16" spans="1:5" x14ac:dyDescent="0.3">
      <c r="A16" s="19" t="s">
        <v>39</v>
      </c>
      <c r="B16" s="19" t="s">
        <v>34</v>
      </c>
      <c r="C16" s="19" t="s">
        <v>35</v>
      </c>
      <c r="D16" s="19">
        <v>5</v>
      </c>
      <c r="E16" s="19" t="s">
        <v>63</v>
      </c>
    </row>
    <row r="17" spans="1:5" x14ac:dyDescent="0.3">
      <c r="A17" s="20" t="s">
        <v>40</v>
      </c>
      <c r="B17" s="20" t="s">
        <v>28</v>
      </c>
      <c r="C17" s="20" t="s">
        <v>29</v>
      </c>
      <c r="D17" s="20">
        <v>11</v>
      </c>
      <c r="E17" s="20" t="s">
        <v>63</v>
      </c>
    </row>
    <row r="18" spans="1:5" x14ac:dyDescent="0.3">
      <c r="A18" s="19" t="s">
        <v>40</v>
      </c>
      <c r="B18" s="19" t="s">
        <v>32</v>
      </c>
      <c r="C18" s="19" t="s">
        <v>33</v>
      </c>
      <c r="D18" s="19">
        <v>38</v>
      </c>
      <c r="E18" s="19" t="s">
        <v>68</v>
      </c>
    </row>
    <row r="19" spans="1:5" x14ac:dyDescent="0.3">
      <c r="A19" s="20" t="s">
        <v>40</v>
      </c>
      <c r="B19" s="20" t="s">
        <v>34</v>
      </c>
      <c r="C19" s="20" t="s">
        <v>35</v>
      </c>
      <c r="D19" s="20">
        <v>21</v>
      </c>
      <c r="E19" s="20" t="s">
        <v>66</v>
      </c>
    </row>
    <row r="20" spans="1:5" x14ac:dyDescent="0.3">
      <c r="A20" s="19" t="s">
        <v>41</v>
      </c>
      <c r="B20" s="19" t="s">
        <v>28</v>
      </c>
      <c r="C20" s="19" t="s">
        <v>29</v>
      </c>
      <c r="D20" s="19">
        <v>7</v>
      </c>
      <c r="E20" s="19" t="s">
        <v>66</v>
      </c>
    </row>
    <row r="21" spans="1:5" x14ac:dyDescent="0.3">
      <c r="A21" s="20" t="s">
        <v>41</v>
      </c>
      <c r="B21" s="20" t="s">
        <v>32</v>
      </c>
      <c r="C21" s="20" t="s">
        <v>33</v>
      </c>
      <c r="D21" s="20">
        <v>27</v>
      </c>
      <c r="E21" s="20" t="s">
        <v>64</v>
      </c>
    </row>
    <row r="22" spans="1:5" x14ac:dyDescent="0.3">
      <c r="A22" s="19" t="s">
        <v>41</v>
      </c>
      <c r="B22" s="19" t="s">
        <v>34</v>
      </c>
      <c r="C22" s="19" t="s">
        <v>35</v>
      </c>
      <c r="D22" s="19">
        <v>10</v>
      </c>
      <c r="E22" s="19" t="s">
        <v>65</v>
      </c>
    </row>
    <row r="23" spans="1:5" x14ac:dyDescent="0.3">
      <c r="A23" s="20" t="s">
        <v>42</v>
      </c>
      <c r="B23" s="20" t="s">
        <v>28</v>
      </c>
      <c r="C23" s="20" t="s">
        <v>29</v>
      </c>
      <c r="D23" s="20">
        <v>11</v>
      </c>
      <c r="E23" s="20" t="s">
        <v>67</v>
      </c>
    </row>
    <row r="24" spans="1:5" x14ac:dyDescent="0.3">
      <c r="A24" s="19" t="s">
        <v>42</v>
      </c>
      <c r="B24" s="19" t="s">
        <v>32</v>
      </c>
      <c r="C24" s="19" t="s">
        <v>33</v>
      </c>
      <c r="D24" s="19">
        <v>34</v>
      </c>
      <c r="E24" s="19" t="s">
        <v>63</v>
      </c>
    </row>
    <row r="25" spans="1:5" x14ac:dyDescent="0.3">
      <c r="A25" s="20" t="s">
        <v>42</v>
      </c>
      <c r="B25" s="20" t="s">
        <v>34</v>
      </c>
      <c r="C25" s="20" t="s">
        <v>35</v>
      </c>
      <c r="D25" s="20">
        <v>30</v>
      </c>
      <c r="E25" s="20" t="s">
        <v>63</v>
      </c>
    </row>
    <row r="26" spans="1:5" x14ac:dyDescent="0.3">
      <c r="A26" s="19" t="s">
        <v>43</v>
      </c>
      <c r="B26" s="19" t="s">
        <v>28</v>
      </c>
      <c r="C26" s="19" t="s">
        <v>29</v>
      </c>
      <c r="D26" s="19">
        <v>18</v>
      </c>
      <c r="E26" s="19" t="s">
        <v>63</v>
      </c>
    </row>
    <row r="27" spans="1:5" x14ac:dyDescent="0.3">
      <c r="A27" s="20" t="s">
        <v>43</v>
      </c>
      <c r="B27" s="20" t="s">
        <v>32</v>
      </c>
      <c r="C27" s="20" t="s">
        <v>33</v>
      </c>
      <c r="D27" s="20">
        <v>12</v>
      </c>
      <c r="E27" s="20" t="s">
        <v>68</v>
      </c>
    </row>
    <row r="28" spans="1:5" x14ac:dyDescent="0.3">
      <c r="A28" s="19" t="s">
        <v>43</v>
      </c>
      <c r="B28" s="19" t="s">
        <v>34</v>
      </c>
      <c r="C28" s="19" t="s">
        <v>35</v>
      </c>
      <c r="D28" s="19">
        <v>18</v>
      </c>
      <c r="E28" s="19" t="s">
        <v>63</v>
      </c>
    </row>
    <row r="29" spans="1:5" x14ac:dyDescent="0.3">
      <c r="A29" s="20" t="s">
        <v>44</v>
      </c>
      <c r="B29" s="20" t="s">
        <v>28</v>
      </c>
      <c r="C29" s="20" t="s">
        <v>29</v>
      </c>
      <c r="D29" s="20">
        <v>7</v>
      </c>
      <c r="E29" s="20" t="s">
        <v>67</v>
      </c>
    </row>
    <row r="30" spans="1:5" x14ac:dyDescent="0.3">
      <c r="A30" s="19" t="s">
        <v>44</v>
      </c>
      <c r="B30" s="19" t="s">
        <v>32</v>
      </c>
      <c r="C30" s="19" t="s">
        <v>33</v>
      </c>
      <c r="D30" s="19">
        <v>11</v>
      </c>
      <c r="E30" s="19" t="s">
        <v>63</v>
      </c>
    </row>
    <row r="31" spans="1:5" x14ac:dyDescent="0.3">
      <c r="A31" s="20" t="s">
        <v>44</v>
      </c>
      <c r="B31" s="20" t="s">
        <v>34</v>
      </c>
      <c r="C31" s="20" t="s">
        <v>35</v>
      </c>
      <c r="D31" s="20">
        <v>8</v>
      </c>
      <c r="E31" s="20" t="s">
        <v>65</v>
      </c>
    </row>
    <row r="32" spans="1:5" x14ac:dyDescent="0.3">
      <c r="A32" s="19" t="s">
        <v>45</v>
      </c>
      <c r="B32" s="19" t="s">
        <v>28</v>
      </c>
      <c r="C32" s="19" t="s">
        <v>29</v>
      </c>
      <c r="D32" s="19">
        <v>16</v>
      </c>
      <c r="E32" s="19" t="s">
        <v>67</v>
      </c>
    </row>
    <row r="33" spans="1:5" x14ac:dyDescent="0.3">
      <c r="A33" s="20" t="s">
        <v>45</v>
      </c>
      <c r="B33" s="20" t="s">
        <v>32</v>
      </c>
      <c r="C33" s="20" t="s">
        <v>33</v>
      </c>
      <c r="D33" s="20">
        <v>20</v>
      </c>
      <c r="E33" s="20" t="s">
        <v>68</v>
      </c>
    </row>
    <row r="34" spans="1:5" x14ac:dyDescent="0.3">
      <c r="A34" s="19" t="s">
        <v>45</v>
      </c>
      <c r="B34" s="19" t="s">
        <v>34</v>
      </c>
      <c r="C34" s="19" t="s">
        <v>35</v>
      </c>
      <c r="D34" s="19">
        <v>5</v>
      </c>
      <c r="E34" s="19" t="s">
        <v>66</v>
      </c>
    </row>
    <row r="35" spans="1:5" x14ac:dyDescent="0.3">
      <c r="A35" s="20" t="s">
        <v>46</v>
      </c>
      <c r="B35" s="20" t="s">
        <v>28</v>
      </c>
      <c r="C35" s="20" t="s">
        <v>29</v>
      </c>
      <c r="D35" s="20">
        <v>16</v>
      </c>
      <c r="E35" s="20" t="s">
        <v>63</v>
      </c>
    </row>
    <row r="36" spans="1:5" x14ac:dyDescent="0.3">
      <c r="A36" s="19" t="s">
        <v>46</v>
      </c>
      <c r="B36" s="19" t="s">
        <v>32</v>
      </c>
      <c r="C36" s="19" t="s">
        <v>33</v>
      </c>
      <c r="D36" s="19">
        <v>11</v>
      </c>
      <c r="E36" s="19" t="s">
        <v>68</v>
      </c>
    </row>
    <row r="37" spans="1:5" x14ac:dyDescent="0.3">
      <c r="A37" s="20" t="s">
        <v>46</v>
      </c>
      <c r="B37" s="20" t="s">
        <v>34</v>
      </c>
      <c r="C37" s="20" t="s">
        <v>35</v>
      </c>
      <c r="D37" s="20">
        <v>16</v>
      </c>
      <c r="E37" s="20" t="s">
        <v>66</v>
      </c>
    </row>
    <row r="38" spans="1:5" x14ac:dyDescent="0.3">
      <c r="A38" s="19" t="s">
        <v>47</v>
      </c>
      <c r="B38" s="19" t="s">
        <v>28</v>
      </c>
      <c r="C38" s="19" t="s">
        <v>29</v>
      </c>
      <c r="D38" s="19">
        <v>5</v>
      </c>
      <c r="E38" s="19" t="s">
        <v>66</v>
      </c>
    </row>
    <row r="39" spans="1:5" x14ac:dyDescent="0.3">
      <c r="A39" s="20" t="s">
        <v>47</v>
      </c>
      <c r="B39" s="20" t="s">
        <v>32</v>
      </c>
      <c r="C39" s="20" t="s">
        <v>33</v>
      </c>
      <c r="D39" s="20">
        <v>20</v>
      </c>
      <c r="E39" s="20" t="s">
        <v>63</v>
      </c>
    </row>
    <row r="40" spans="1:5" x14ac:dyDescent="0.3">
      <c r="A40" s="19" t="s">
        <v>47</v>
      </c>
      <c r="B40" s="19" t="s">
        <v>34</v>
      </c>
      <c r="C40" s="19" t="s">
        <v>35</v>
      </c>
      <c r="D40" s="19">
        <v>15</v>
      </c>
      <c r="E40" s="19" t="s">
        <v>63</v>
      </c>
    </row>
    <row r="41" spans="1:5" x14ac:dyDescent="0.3">
      <c r="A41" s="20" t="s">
        <v>48</v>
      </c>
      <c r="B41" s="20" t="s">
        <v>28</v>
      </c>
      <c r="C41" s="20" t="s">
        <v>29</v>
      </c>
      <c r="D41" s="20">
        <v>4</v>
      </c>
      <c r="E41" s="20" t="s">
        <v>67</v>
      </c>
    </row>
    <row r="42" spans="1:5" x14ac:dyDescent="0.3">
      <c r="A42" s="19" t="s">
        <v>48</v>
      </c>
      <c r="B42" s="19" t="s">
        <v>32</v>
      </c>
      <c r="C42" s="19" t="s">
        <v>33</v>
      </c>
      <c r="D42" s="19">
        <v>27</v>
      </c>
      <c r="E42" s="19" t="s">
        <v>64</v>
      </c>
    </row>
    <row r="43" spans="1:5" x14ac:dyDescent="0.3">
      <c r="A43" s="20" t="s">
        <v>48</v>
      </c>
      <c r="B43" s="20" t="s">
        <v>34</v>
      </c>
      <c r="C43" s="20" t="s">
        <v>35</v>
      </c>
      <c r="D43" s="20">
        <v>4</v>
      </c>
      <c r="E43" s="20" t="s">
        <v>66</v>
      </c>
    </row>
    <row r="44" spans="1:5" x14ac:dyDescent="0.3">
      <c r="A44" s="19" t="s">
        <v>49</v>
      </c>
      <c r="B44" s="19" t="s">
        <v>28</v>
      </c>
      <c r="C44" s="19" t="s">
        <v>29</v>
      </c>
      <c r="D44" s="19">
        <v>12</v>
      </c>
      <c r="E44" s="19" t="s">
        <v>63</v>
      </c>
    </row>
    <row r="45" spans="1:5" x14ac:dyDescent="0.3">
      <c r="A45" s="20" t="s">
        <v>49</v>
      </c>
      <c r="B45" s="20" t="s">
        <v>32</v>
      </c>
      <c r="C45" s="20" t="s">
        <v>33</v>
      </c>
      <c r="D45" s="20">
        <v>18</v>
      </c>
      <c r="E45" s="20" t="s">
        <v>68</v>
      </c>
    </row>
    <row r="46" spans="1:5" x14ac:dyDescent="0.3">
      <c r="A46" s="19" t="s">
        <v>49</v>
      </c>
      <c r="B46" s="19" t="s">
        <v>34</v>
      </c>
      <c r="C46" s="19" t="s">
        <v>35</v>
      </c>
      <c r="D46" s="19">
        <v>13</v>
      </c>
      <c r="E46" s="19" t="s">
        <v>63</v>
      </c>
    </row>
    <row r="47" spans="1:5" x14ac:dyDescent="0.3">
      <c r="A47" s="20" t="s">
        <v>50</v>
      </c>
      <c r="B47" s="20" t="s">
        <v>28</v>
      </c>
      <c r="C47" s="20" t="s">
        <v>29</v>
      </c>
      <c r="D47" s="20">
        <v>17</v>
      </c>
      <c r="E47" s="20" t="s">
        <v>63</v>
      </c>
    </row>
    <row r="48" spans="1:5" x14ac:dyDescent="0.3">
      <c r="A48" s="19" t="s">
        <v>50</v>
      </c>
      <c r="B48" s="19" t="s">
        <v>32</v>
      </c>
      <c r="C48" s="19" t="s">
        <v>33</v>
      </c>
      <c r="D48" s="19">
        <v>28</v>
      </c>
      <c r="E48" s="19" t="s">
        <v>64</v>
      </c>
    </row>
    <row r="49" spans="1:5" x14ac:dyDescent="0.3">
      <c r="A49" s="20" t="s">
        <v>50</v>
      </c>
      <c r="B49" s="20" t="s">
        <v>34</v>
      </c>
      <c r="C49" s="20" t="s">
        <v>35</v>
      </c>
      <c r="D49" s="20">
        <v>6</v>
      </c>
      <c r="E49" s="20" t="s">
        <v>65</v>
      </c>
    </row>
    <row r="50" spans="1:5" x14ac:dyDescent="0.3">
      <c r="A50" s="19" t="s">
        <v>51</v>
      </c>
      <c r="B50" s="19" t="s">
        <v>28</v>
      </c>
      <c r="C50" s="19" t="s">
        <v>29</v>
      </c>
      <c r="D50" s="19">
        <v>17</v>
      </c>
      <c r="E50" s="19" t="s">
        <v>66</v>
      </c>
    </row>
    <row r="51" spans="1:5" x14ac:dyDescent="0.3">
      <c r="A51" s="20" t="s">
        <v>51</v>
      </c>
      <c r="B51" s="20" t="s">
        <v>32</v>
      </c>
      <c r="C51" s="20" t="s">
        <v>33</v>
      </c>
      <c r="D51" s="20">
        <v>50</v>
      </c>
      <c r="E51" s="20" t="s">
        <v>64</v>
      </c>
    </row>
    <row r="52" spans="1:5" x14ac:dyDescent="0.3">
      <c r="A52" s="19" t="s">
        <v>51</v>
      </c>
      <c r="B52" s="19" t="s">
        <v>34</v>
      </c>
      <c r="C52" s="19" t="s">
        <v>35</v>
      </c>
      <c r="D52" s="19">
        <v>7</v>
      </c>
      <c r="E52" s="19" t="s">
        <v>63</v>
      </c>
    </row>
    <row r="53" spans="1:5" x14ac:dyDescent="0.3">
      <c r="A53" s="20" t="s">
        <v>52</v>
      </c>
      <c r="B53" s="20" t="s">
        <v>28</v>
      </c>
      <c r="C53" s="20" t="s">
        <v>29</v>
      </c>
      <c r="D53" s="20">
        <v>17</v>
      </c>
      <c r="E53" s="20" t="s">
        <v>63</v>
      </c>
    </row>
    <row r="54" spans="1:5" x14ac:dyDescent="0.3">
      <c r="A54" s="19" t="s">
        <v>52</v>
      </c>
      <c r="B54" s="19" t="s">
        <v>32</v>
      </c>
      <c r="C54" s="19" t="s">
        <v>33</v>
      </c>
      <c r="D54" s="19">
        <v>30</v>
      </c>
      <c r="E54" s="19" t="s">
        <v>68</v>
      </c>
    </row>
    <row r="55" spans="1:5" x14ac:dyDescent="0.3">
      <c r="A55" s="20" t="s">
        <v>52</v>
      </c>
      <c r="B55" s="20" t="s">
        <v>34</v>
      </c>
      <c r="C55" s="20" t="s">
        <v>35</v>
      </c>
      <c r="D55" s="20">
        <v>7</v>
      </c>
      <c r="E55" s="20" t="s">
        <v>66</v>
      </c>
    </row>
    <row r="56" spans="1:5" x14ac:dyDescent="0.3">
      <c r="A56" s="19" t="s">
        <v>53</v>
      </c>
      <c r="B56" s="19" t="s">
        <v>28</v>
      </c>
      <c r="C56" s="19" t="s">
        <v>29</v>
      </c>
      <c r="D56" s="19">
        <v>15</v>
      </c>
      <c r="E56" s="19" t="s">
        <v>66</v>
      </c>
    </row>
    <row r="57" spans="1:5" x14ac:dyDescent="0.3">
      <c r="A57" s="20" t="s">
        <v>53</v>
      </c>
      <c r="B57" s="20" t="s">
        <v>32</v>
      </c>
      <c r="C57" s="20" t="s">
        <v>33</v>
      </c>
      <c r="D57" s="20">
        <v>37</v>
      </c>
      <c r="E57" s="20" t="s">
        <v>64</v>
      </c>
    </row>
    <row r="58" spans="1:5" x14ac:dyDescent="0.3">
      <c r="A58" s="19" t="s">
        <v>53</v>
      </c>
      <c r="B58" s="19" t="s">
        <v>34</v>
      </c>
      <c r="C58" s="19" t="s">
        <v>35</v>
      </c>
      <c r="D58" s="19">
        <v>20</v>
      </c>
      <c r="E58" s="19" t="s">
        <v>66</v>
      </c>
    </row>
    <row r="59" spans="1:5" x14ac:dyDescent="0.3">
      <c r="A59" s="20" t="s">
        <v>54</v>
      </c>
      <c r="B59" s="20" t="s">
        <v>28</v>
      </c>
      <c r="C59" s="20" t="s">
        <v>29</v>
      </c>
      <c r="D59" s="20">
        <v>5</v>
      </c>
      <c r="E59" s="20" t="s">
        <v>67</v>
      </c>
    </row>
    <row r="60" spans="1:5" x14ac:dyDescent="0.3">
      <c r="A60" s="19" t="s">
        <v>54</v>
      </c>
      <c r="B60" s="19" t="s">
        <v>32</v>
      </c>
      <c r="C60" s="19" t="s">
        <v>33</v>
      </c>
      <c r="D60" s="19">
        <v>9</v>
      </c>
      <c r="E60" s="19" t="s">
        <v>68</v>
      </c>
    </row>
    <row r="61" spans="1:5" x14ac:dyDescent="0.3">
      <c r="A61" s="20" t="s">
        <v>54</v>
      </c>
      <c r="B61" s="20" t="s">
        <v>34</v>
      </c>
      <c r="C61" s="20" t="s">
        <v>35</v>
      </c>
      <c r="D61" s="20">
        <v>21</v>
      </c>
      <c r="E61" s="20" t="s">
        <v>63</v>
      </c>
    </row>
    <row r="62" spans="1:5" x14ac:dyDescent="0.3">
      <c r="A62" s="19" t="s">
        <v>55</v>
      </c>
      <c r="B62" s="19" t="s">
        <v>28</v>
      </c>
      <c r="C62" s="19" t="s">
        <v>29</v>
      </c>
      <c r="D62" s="19">
        <v>6</v>
      </c>
      <c r="E62" s="19" t="s">
        <v>66</v>
      </c>
    </row>
    <row r="63" spans="1:5" x14ac:dyDescent="0.3">
      <c r="A63" s="20" t="s">
        <v>55</v>
      </c>
      <c r="B63" s="20" t="s">
        <v>32</v>
      </c>
      <c r="C63" s="20" t="s">
        <v>33</v>
      </c>
      <c r="D63" s="20">
        <v>29</v>
      </c>
      <c r="E63" s="20" t="s">
        <v>68</v>
      </c>
    </row>
    <row r="64" spans="1:5" x14ac:dyDescent="0.3">
      <c r="A64" s="19" t="s">
        <v>55</v>
      </c>
      <c r="B64" s="19" t="s">
        <v>34</v>
      </c>
      <c r="C64" s="19" t="s">
        <v>35</v>
      </c>
      <c r="D64" s="19">
        <v>8</v>
      </c>
      <c r="E64" s="19" t="s">
        <v>65</v>
      </c>
    </row>
    <row r="65" spans="1:5" x14ac:dyDescent="0.3">
      <c r="A65" s="20" t="s">
        <v>56</v>
      </c>
      <c r="B65" s="20" t="s">
        <v>28</v>
      </c>
      <c r="C65" s="20" t="s">
        <v>29</v>
      </c>
      <c r="D65" s="20">
        <v>6</v>
      </c>
      <c r="E65" s="20" t="s">
        <v>66</v>
      </c>
    </row>
    <row r="66" spans="1:5" x14ac:dyDescent="0.3">
      <c r="A66" s="19" t="s">
        <v>56</v>
      </c>
      <c r="B66" s="19" t="s">
        <v>32</v>
      </c>
      <c r="C66" s="19" t="s">
        <v>33</v>
      </c>
      <c r="D66" s="19">
        <v>29</v>
      </c>
      <c r="E66" s="19" t="s">
        <v>68</v>
      </c>
    </row>
    <row r="67" spans="1:5" x14ac:dyDescent="0.3">
      <c r="A67" s="20" t="s">
        <v>56</v>
      </c>
      <c r="B67" s="20" t="s">
        <v>34</v>
      </c>
      <c r="C67" s="20" t="s">
        <v>35</v>
      </c>
      <c r="D67" s="20">
        <v>23</v>
      </c>
      <c r="E67" s="20" t="s">
        <v>66</v>
      </c>
    </row>
    <row r="68" spans="1:5" x14ac:dyDescent="0.3">
      <c r="A68" s="19" t="s">
        <v>57</v>
      </c>
      <c r="B68" s="19" t="s">
        <v>28</v>
      </c>
      <c r="C68" s="19" t="s">
        <v>29</v>
      </c>
      <c r="D68" s="19">
        <v>8</v>
      </c>
      <c r="E68" s="19" t="s">
        <v>67</v>
      </c>
    </row>
    <row r="69" spans="1:5" x14ac:dyDescent="0.3">
      <c r="A69" s="20" t="s">
        <v>57</v>
      </c>
      <c r="B69" s="20" t="s">
        <v>32</v>
      </c>
      <c r="C69" s="20" t="s">
        <v>33</v>
      </c>
      <c r="D69" s="20">
        <v>24</v>
      </c>
      <c r="E69" s="20" t="s">
        <v>64</v>
      </c>
    </row>
    <row r="70" spans="1:5" x14ac:dyDescent="0.3">
      <c r="A70" s="19" t="s">
        <v>57</v>
      </c>
      <c r="B70" s="19" t="s">
        <v>34</v>
      </c>
      <c r="C70" s="19" t="s">
        <v>35</v>
      </c>
      <c r="D70" s="19">
        <v>10</v>
      </c>
      <c r="E70" s="19" t="s">
        <v>63</v>
      </c>
    </row>
    <row r="71" spans="1:5" x14ac:dyDescent="0.3">
      <c r="A71" s="20" t="s">
        <v>58</v>
      </c>
      <c r="B71" s="20" t="s">
        <v>28</v>
      </c>
      <c r="C71" s="20" t="s">
        <v>29</v>
      </c>
      <c r="D71" s="20">
        <v>5</v>
      </c>
      <c r="E71" s="20" t="s">
        <v>66</v>
      </c>
    </row>
    <row r="72" spans="1:5" x14ac:dyDescent="0.3">
      <c r="A72" s="19" t="s">
        <v>58</v>
      </c>
      <c r="B72" s="19" t="s">
        <v>32</v>
      </c>
      <c r="C72" s="19" t="s">
        <v>33</v>
      </c>
      <c r="D72" s="19">
        <v>20</v>
      </c>
      <c r="E72" s="19" t="s">
        <v>63</v>
      </c>
    </row>
    <row r="73" spans="1:5" x14ac:dyDescent="0.3">
      <c r="A73" s="20" t="s">
        <v>58</v>
      </c>
      <c r="B73" s="20" t="s">
        <v>34</v>
      </c>
      <c r="C73" s="20" t="s">
        <v>35</v>
      </c>
      <c r="D73" s="20">
        <v>4</v>
      </c>
      <c r="E73" s="20" t="s">
        <v>65</v>
      </c>
    </row>
    <row r="74" spans="1:5" x14ac:dyDescent="0.3">
      <c r="A74" s="19" t="s">
        <v>59</v>
      </c>
      <c r="B74" s="19" t="s">
        <v>28</v>
      </c>
      <c r="C74" s="19" t="s">
        <v>29</v>
      </c>
      <c r="D74" s="19">
        <v>10</v>
      </c>
      <c r="E74" s="19" t="s">
        <v>67</v>
      </c>
    </row>
    <row r="75" spans="1:5" x14ac:dyDescent="0.3">
      <c r="A75" s="20" t="s">
        <v>59</v>
      </c>
      <c r="B75" s="20" t="s">
        <v>32</v>
      </c>
      <c r="C75" s="20" t="s">
        <v>33</v>
      </c>
      <c r="D75" s="20">
        <v>20</v>
      </c>
      <c r="E75" s="20" t="s">
        <v>63</v>
      </c>
    </row>
    <row r="76" spans="1:5" x14ac:dyDescent="0.3">
      <c r="A76" s="19" t="s">
        <v>59</v>
      </c>
      <c r="B76" s="19" t="s">
        <v>34</v>
      </c>
      <c r="C76" s="19" t="s">
        <v>35</v>
      </c>
      <c r="D76" s="19">
        <v>16</v>
      </c>
      <c r="E76" s="19" t="s">
        <v>65</v>
      </c>
    </row>
    <row r="77" spans="1:5" x14ac:dyDescent="0.3">
      <c r="A77" s="20" t="s">
        <v>60</v>
      </c>
      <c r="B77" s="20" t="s">
        <v>28</v>
      </c>
      <c r="C77" s="20" t="s">
        <v>29</v>
      </c>
      <c r="D77" s="20">
        <v>5</v>
      </c>
      <c r="E77" s="20" t="s">
        <v>67</v>
      </c>
    </row>
    <row r="78" spans="1:5" x14ac:dyDescent="0.3">
      <c r="A78" s="19" t="s">
        <v>60</v>
      </c>
      <c r="B78" s="19" t="s">
        <v>32</v>
      </c>
      <c r="C78" s="19" t="s">
        <v>33</v>
      </c>
      <c r="D78" s="19">
        <v>32</v>
      </c>
      <c r="E78" s="19" t="s">
        <v>68</v>
      </c>
    </row>
    <row r="79" spans="1:5" x14ac:dyDescent="0.3">
      <c r="A79" s="20" t="s">
        <v>60</v>
      </c>
      <c r="B79" s="20" t="s">
        <v>34</v>
      </c>
      <c r="C79" s="20" t="s">
        <v>35</v>
      </c>
      <c r="D79" s="20">
        <v>18</v>
      </c>
      <c r="E79" s="20" t="s">
        <v>63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28"/>
  <sheetViews>
    <sheetView showGridLines="0" zoomScaleNormal="100" workbookViewId="0">
      <pane ySplit="1" topLeftCell="A5" activePane="bottomLeft" state="frozen"/>
      <selection pane="bottomLeft" activeCell="K9" sqref="K9"/>
    </sheetView>
  </sheetViews>
  <sheetFormatPr defaultColWidth="8.6640625" defaultRowHeight="14.4" x14ac:dyDescent="0.3"/>
  <cols>
    <col min="1" max="1" width="13" customWidth="1"/>
    <col min="2" max="2" width="10" customWidth="1"/>
    <col min="3" max="3" width="15" customWidth="1"/>
    <col min="4" max="4" width="22" customWidth="1"/>
    <col min="5" max="5" width="18" customWidth="1"/>
    <col min="6" max="6" width="14" customWidth="1"/>
    <col min="7" max="7" width="12.5546875" bestFit="1" customWidth="1"/>
    <col min="8" max="8" width="16" bestFit="1" customWidth="1"/>
  </cols>
  <sheetData>
    <row r="1" spans="1:8" x14ac:dyDescent="0.3">
      <c r="A1" s="22" t="s">
        <v>20</v>
      </c>
      <c r="B1" s="22" t="s">
        <v>22</v>
      </c>
      <c r="C1" s="22" t="s">
        <v>69</v>
      </c>
      <c r="D1" s="22" t="s">
        <v>70</v>
      </c>
      <c r="E1" s="22" t="s">
        <v>71</v>
      </c>
      <c r="F1" s="22" t="s">
        <v>72</v>
      </c>
    </row>
    <row r="2" spans="1:8" x14ac:dyDescent="0.3">
      <c r="A2" s="19" t="s">
        <v>36</v>
      </c>
      <c r="B2" s="19" t="s">
        <v>34</v>
      </c>
      <c r="C2" s="19">
        <v>60</v>
      </c>
      <c r="D2" s="19" t="s">
        <v>73</v>
      </c>
      <c r="E2" s="23" t="str">
        <f t="shared" ref="E2:E28" si="0">A2&amp;B2</f>
        <v>2024-01-03M-03</v>
      </c>
      <c r="F2" s="23">
        <f t="shared" ref="F2:F28" si="1">C2</f>
        <v>60</v>
      </c>
    </row>
    <row r="3" spans="1:8" x14ac:dyDescent="0.3">
      <c r="A3" s="20" t="s">
        <v>38</v>
      </c>
      <c r="B3" s="20" t="s">
        <v>32</v>
      </c>
      <c r="C3" s="20">
        <v>60</v>
      </c>
      <c r="D3" s="20" t="s">
        <v>74</v>
      </c>
      <c r="E3" s="23" t="str">
        <f t="shared" si="0"/>
        <v>2024-01-05M-02</v>
      </c>
      <c r="F3" s="23">
        <f t="shared" si="1"/>
        <v>60</v>
      </c>
    </row>
    <row r="4" spans="1:8" x14ac:dyDescent="0.3">
      <c r="A4" s="19" t="s">
        <v>39</v>
      </c>
      <c r="B4" s="19" t="s">
        <v>32</v>
      </c>
      <c r="C4" s="19">
        <v>60</v>
      </c>
      <c r="D4" s="19" t="s">
        <v>74</v>
      </c>
      <c r="E4" s="23" t="str">
        <f t="shared" si="0"/>
        <v>2024-01-06M-02</v>
      </c>
      <c r="F4" s="23">
        <f t="shared" si="1"/>
        <v>60</v>
      </c>
    </row>
    <row r="5" spans="1:8" x14ac:dyDescent="0.3">
      <c r="A5" s="20" t="s">
        <v>39</v>
      </c>
      <c r="B5" s="20" t="s">
        <v>34</v>
      </c>
      <c r="C5" s="20">
        <v>60</v>
      </c>
      <c r="D5" s="20" t="s">
        <v>75</v>
      </c>
      <c r="E5" s="23" t="str">
        <f t="shared" si="0"/>
        <v>2024-01-06M-03</v>
      </c>
      <c r="F5" s="23">
        <f t="shared" si="1"/>
        <v>60</v>
      </c>
    </row>
    <row r="6" spans="1:8" x14ac:dyDescent="0.3">
      <c r="A6" s="19" t="s">
        <v>41</v>
      </c>
      <c r="B6" s="19" t="s">
        <v>32</v>
      </c>
      <c r="C6" s="19">
        <v>120</v>
      </c>
      <c r="D6" s="19" t="s">
        <v>76</v>
      </c>
      <c r="E6" s="23" t="str">
        <f t="shared" si="0"/>
        <v>2024-01-09M-02</v>
      </c>
      <c r="F6" s="23">
        <f t="shared" si="1"/>
        <v>120</v>
      </c>
    </row>
    <row r="7" spans="1:8" x14ac:dyDescent="0.3">
      <c r="A7" s="20" t="s">
        <v>42</v>
      </c>
      <c r="B7" s="20" t="s">
        <v>28</v>
      </c>
      <c r="C7" s="20">
        <v>45</v>
      </c>
      <c r="D7" s="20" t="s">
        <v>73</v>
      </c>
      <c r="E7" s="23" t="str">
        <f t="shared" si="0"/>
        <v>2024-01-10M-01</v>
      </c>
      <c r="F7" s="23">
        <f t="shared" si="1"/>
        <v>45</v>
      </c>
    </row>
    <row r="8" spans="1:8" x14ac:dyDescent="0.3">
      <c r="A8" s="19" t="s">
        <v>42</v>
      </c>
      <c r="B8" s="19" t="s">
        <v>32</v>
      </c>
      <c r="C8" s="19">
        <v>150</v>
      </c>
      <c r="D8" s="19" t="s">
        <v>76</v>
      </c>
      <c r="E8" s="23" t="str">
        <f t="shared" si="0"/>
        <v>2024-01-10M-02</v>
      </c>
      <c r="F8" s="23">
        <f t="shared" si="1"/>
        <v>150</v>
      </c>
    </row>
    <row r="9" spans="1:8" x14ac:dyDescent="0.3">
      <c r="A9" s="20" t="s">
        <v>44</v>
      </c>
      <c r="B9" s="20" t="s">
        <v>32</v>
      </c>
      <c r="C9" s="20">
        <v>150</v>
      </c>
      <c r="D9" s="20" t="s">
        <v>74</v>
      </c>
      <c r="E9" s="23" t="str">
        <f t="shared" si="0"/>
        <v>2024-01-12M-02</v>
      </c>
      <c r="F9" s="23">
        <f t="shared" si="1"/>
        <v>150</v>
      </c>
    </row>
    <row r="10" spans="1:8" x14ac:dyDescent="0.3">
      <c r="A10" s="19" t="s">
        <v>45</v>
      </c>
      <c r="B10" s="19" t="s">
        <v>28</v>
      </c>
      <c r="C10" s="19">
        <v>30</v>
      </c>
      <c r="D10" s="19" t="s">
        <v>77</v>
      </c>
      <c r="E10" s="23" t="str">
        <f t="shared" si="0"/>
        <v>2024-01-13M-01</v>
      </c>
      <c r="F10" s="23">
        <f t="shared" si="1"/>
        <v>30</v>
      </c>
    </row>
    <row r="11" spans="1:8" x14ac:dyDescent="0.3">
      <c r="A11" s="20" t="s">
        <v>45</v>
      </c>
      <c r="B11" s="20" t="s">
        <v>32</v>
      </c>
      <c r="C11" s="20">
        <v>45</v>
      </c>
      <c r="D11" s="20" t="s">
        <v>76</v>
      </c>
      <c r="E11" s="23" t="str">
        <f t="shared" si="0"/>
        <v>2024-01-13M-02</v>
      </c>
      <c r="F11" s="23">
        <f t="shared" si="1"/>
        <v>45</v>
      </c>
    </row>
    <row r="12" spans="1:8" x14ac:dyDescent="0.3">
      <c r="A12" s="19" t="s">
        <v>45</v>
      </c>
      <c r="B12" s="19" t="s">
        <v>34</v>
      </c>
      <c r="C12" s="19">
        <v>30</v>
      </c>
      <c r="D12" s="19" t="s">
        <v>77</v>
      </c>
      <c r="E12" s="23" t="str">
        <f t="shared" si="0"/>
        <v>2024-01-13M-03</v>
      </c>
      <c r="F12" s="23">
        <f t="shared" si="1"/>
        <v>30</v>
      </c>
    </row>
    <row r="13" spans="1:8" x14ac:dyDescent="0.3">
      <c r="A13" s="20" t="s">
        <v>47</v>
      </c>
      <c r="B13" s="20" t="s">
        <v>32</v>
      </c>
      <c r="C13" s="20">
        <v>150</v>
      </c>
      <c r="D13" s="20" t="s">
        <v>74</v>
      </c>
      <c r="E13" s="23" t="str">
        <f t="shared" si="0"/>
        <v>2024-01-16M-02</v>
      </c>
      <c r="F13" s="23">
        <f t="shared" si="1"/>
        <v>150</v>
      </c>
    </row>
    <row r="14" spans="1:8" x14ac:dyDescent="0.3">
      <c r="A14" s="19" t="s">
        <v>48</v>
      </c>
      <c r="B14" s="19" t="s">
        <v>32</v>
      </c>
      <c r="C14" s="19">
        <v>150</v>
      </c>
      <c r="D14" s="19" t="s">
        <v>76</v>
      </c>
      <c r="E14" s="23" t="str">
        <f t="shared" si="0"/>
        <v>2024-01-17M-02</v>
      </c>
      <c r="F14" s="23">
        <f t="shared" si="1"/>
        <v>150</v>
      </c>
    </row>
    <row r="15" spans="1:8" x14ac:dyDescent="0.3">
      <c r="A15" s="20" t="s">
        <v>50</v>
      </c>
      <c r="B15" s="20" t="s">
        <v>28</v>
      </c>
      <c r="C15" s="20">
        <v>60</v>
      </c>
      <c r="D15" s="20" t="s">
        <v>78</v>
      </c>
      <c r="E15" s="23" t="str">
        <f t="shared" si="0"/>
        <v>2024-01-19M-01</v>
      </c>
      <c r="F15" s="23">
        <f t="shared" si="1"/>
        <v>60</v>
      </c>
    </row>
    <row r="16" spans="1:8" x14ac:dyDescent="0.3">
      <c r="A16" s="19" t="s">
        <v>50</v>
      </c>
      <c r="B16" s="19" t="s">
        <v>32</v>
      </c>
      <c r="C16" s="19">
        <v>30</v>
      </c>
      <c r="D16" s="19" t="s">
        <v>78</v>
      </c>
      <c r="E16" s="23" t="str">
        <f t="shared" si="0"/>
        <v>2024-01-19M-02</v>
      </c>
      <c r="F16" s="23">
        <f t="shared" si="1"/>
        <v>30</v>
      </c>
      <c r="G16" s="56" t="s">
        <v>119</v>
      </c>
      <c r="H16" t="s">
        <v>120</v>
      </c>
    </row>
    <row r="17" spans="1:11" x14ac:dyDescent="0.3">
      <c r="A17" s="20" t="s">
        <v>50</v>
      </c>
      <c r="B17" s="20" t="s">
        <v>34</v>
      </c>
      <c r="C17" s="20">
        <v>60</v>
      </c>
      <c r="D17" s="20" t="s">
        <v>75</v>
      </c>
      <c r="E17" s="23" t="str">
        <f t="shared" si="0"/>
        <v>2024-01-19M-03</v>
      </c>
      <c r="F17" s="23">
        <f t="shared" si="1"/>
        <v>60</v>
      </c>
      <c r="G17" s="57" t="s">
        <v>28</v>
      </c>
      <c r="H17" s="55">
        <v>300</v>
      </c>
      <c r="J17">
        <v>300</v>
      </c>
      <c r="K17">
        <f>CONVERT(J17,"mn","hr")</f>
        <v>5</v>
      </c>
    </row>
    <row r="18" spans="1:11" x14ac:dyDescent="0.3">
      <c r="A18" s="19" t="s">
        <v>51</v>
      </c>
      <c r="B18" s="19" t="s">
        <v>32</v>
      </c>
      <c r="C18" s="19">
        <v>60</v>
      </c>
      <c r="D18" s="19" t="s">
        <v>78</v>
      </c>
      <c r="E18" s="23" t="str">
        <f t="shared" si="0"/>
        <v>2024-01-20M-02</v>
      </c>
      <c r="F18" s="23">
        <f t="shared" si="1"/>
        <v>60</v>
      </c>
      <c r="G18" s="57" t="s">
        <v>32</v>
      </c>
      <c r="H18" s="55">
        <v>1380</v>
      </c>
      <c r="J18">
        <v>1380</v>
      </c>
      <c r="K18">
        <f t="shared" ref="K18:K19" si="2">CONVERT(J18,"mn","hr")</f>
        <v>23</v>
      </c>
    </row>
    <row r="19" spans="1:11" x14ac:dyDescent="0.3">
      <c r="A19" s="20" t="s">
        <v>52</v>
      </c>
      <c r="B19" s="20" t="s">
        <v>32</v>
      </c>
      <c r="C19" s="20">
        <v>120</v>
      </c>
      <c r="D19" s="20" t="s">
        <v>78</v>
      </c>
      <c r="E19" s="23" t="str">
        <f t="shared" si="0"/>
        <v>2024-01-22M-02</v>
      </c>
      <c r="F19" s="23">
        <f t="shared" si="1"/>
        <v>120</v>
      </c>
      <c r="G19" s="57" t="s">
        <v>34</v>
      </c>
      <c r="H19" s="55">
        <v>240</v>
      </c>
      <c r="J19">
        <v>240</v>
      </c>
      <c r="K19">
        <f t="shared" si="2"/>
        <v>4</v>
      </c>
    </row>
    <row r="20" spans="1:11" x14ac:dyDescent="0.3">
      <c r="A20" s="19" t="s">
        <v>53</v>
      </c>
      <c r="B20" s="19" t="s">
        <v>32</v>
      </c>
      <c r="C20" s="19">
        <v>60</v>
      </c>
      <c r="D20" s="19" t="s">
        <v>76</v>
      </c>
      <c r="E20" s="23" t="str">
        <f t="shared" si="0"/>
        <v>2024-01-23M-02</v>
      </c>
      <c r="F20" s="23">
        <f t="shared" si="1"/>
        <v>60</v>
      </c>
      <c r="G20" s="57" t="s">
        <v>88</v>
      </c>
      <c r="H20" s="55">
        <v>1920</v>
      </c>
    </row>
    <row r="21" spans="1:11" x14ac:dyDescent="0.3">
      <c r="A21" s="20" t="s">
        <v>54</v>
      </c>
      <c r="B21" s="20" t="s">
        <v>28</v>
      </c>
      <c r="C21" s="20">
        <v>60</v>
      </c>
      <c r="D21" s="20" t="s">
        <v>77</v>
      </c>
      <c r="E21" s="23" t="str">
        <f t="shared" si="0"/>
        <v>2024-01-24M-01</v>
      </c>
      <c r="F21" s="23">
        <f t="shared" si="1"/>
        <v>60</v>
      </c>
    </row>
    <row r="22" spans="1:11" x14ac:dyDescent="0.3">
      <c r="A22" s="19" t="s">
        <v>54</v>
      </c>
      <c r="B22" s="19" t="s">
        <v>32</v>
      </c>
      <c r="C22" s="19">
        <v>90</v>
      </c>
      <c r="D22" s="19" t="s">
        <v>76</v>
      </c>
      <c r="E22" s="23" t="str">
        <f t="shared" si="0"/>
        <v>2024-01-24M-02</v>
      </c>
      <c r="F22" s="23">
        <f t="shared" si="1"/>
        <v>90</v>
      </c>
    </row>
    <row r="23" spans="1:11" x14ac:dyDescent="0.3">
      <c r="A23" s="20" t="s">
        <v>55</v>
      </c>
      <c r="B23" s="20" t="s">
        <v>28</v>
      </c>
      <c r="C23" s="20">
        <v>45</v>
      </c>
      <c r="D23" s="20" t="s">
        <v>73</v>
      </c>
      <c r="E23" s="23" t="str">
        <f t="shared" si="0"/>
        <v>2024-01-25M-01</v>
      </c>
      <c r="F23" s="23">
        <f t="shared" si="1"/>
        <v>45</v>
      </c>
    </row>
    <row r="24" spans="1:11" x14ac:dyDescent="0.3">
      <c r="A24" s="19" t="s">
        <v>55</v>
      </c>
      <c r="B24" s="19" t="s">
        <v>34</v>
      </c>
      <c r="C24" s="19">
        <v>30</v>
      </c>
      <c r="D24" s="19" t="s">
        <v>73</v>
      </c>
      <c r="E24" s="23" t="str">
        <f t="shared" si="0"/>
        <v>2024-01-25M-03</v>
      </c>
      <c r="F24" s="23">
        <f t="shared" si="1"/>
        <v>30</v>
      </c>
    </row>
    <row r="25" spans="1:11" x14ac:dyDescent="0.3">
      <c r="A25" s="20" t="s">
        <v>56</v>
      </c>
      <c r="B25" s="20" t="s">
        <v>32</v>
      </c>
      <c r="C25" s="20">
        <v>45</v>
      </c>
      <c r="D25" s="20" t="s">
        <v>76</v>
      </c>
      <c r="E25" s="23" t="str">
        <f t="shared" si="0"/>
        <v>2024-01-26M-02</v>
      </c>
      <c r="F25" s="23">
        <f t="shared" si="1"/>
        <v>45</v>
      </c>
    </row>
    <row r="26" spans="1:11" x14ac:dyDescent="0.3">
      <c r="A26" s="19" t="s">
        <v>57</v>
      </c>
      <c r="B26" s="19" t="s">
        <v>32</v>
      </c>
      <c r="C26" s="19">
        <v>30</v>
      </c>
      <c r="D26" s="19" t="s">
        <v>76</v>
      </c>
      <c r="E26" s="23" t="str">
        <f t="shared" si="0"/>
        <v>2024-01-27M-02</v>
      </c>
      <c r="F26" s="23">
        <f t="shared" si="1"/>
        <v>30</v>
      </c>
    </row>
    <row r="27" spans="1:11" x14ac:dyDescent="0.3">
      <c r="A27" s="20" t="s">
        <v>59</v>
      </c>
      <c r="B27" s="20" t="s">
        <v>28</v>
      </c>
      <c r="C27" s="20">
        <v>60</v>
      </c>
      <c r="D27" s="20" t="s">
        <v>73</v>
      </c>
      <c r="E27" s="23" t="str">
        <f t="shared" si="0"/>
        <v>2024-01-30M-01</v>
      </c>
      <c r="F27" s="23">
        <f t="shared" si="1"/>
        <v>60</v>
      </c>
    </row>
    <row r="28" spans="1:11" x14ac:dyDescent="0.3">
      <c r="A28" s="19" t="s">
        <v>59</v>
      </c>
      <c r="B28" s="19" t="s">
        <v>32</v>
      </c>
      <c r="C28" s="19">
        <v>60</v>
      </c>
      <c r="D28" s="19" t="s">
        <v>78</v>
      </c>
      <c r="E28" s="23" t="str">
        <f t="shared" si="0"/>
        <v>2024-01-30M-02</v>
      </c>
      <c r="F28" s="23">
        <f t="shared" si="1"/>
        <v>60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79"/>
  <sheetViews>
    <sheetView showGridLines="0" zoomScaleNormal="100" workbookViewId="0">
      <pane ySplit="1" topLeftCell="A2" activePane="bottomLeft" state="frozen"/>
      <selection pane="bottomLeft"/>
    </sheetView>
  </sheetViews>
  <sheetFormatPr defaultColWidth="8.6640625" defaultRowHeight="14.4" x14ac:dyDescent="0.3"/>
  <cols>
    <col min="1" max="1" width="13" customWidth="1"/>
    <col min="2" max="2" width="10" customWidth="1"/>
    <col min="3" max="3" width="13" customWidth="1"/>
    <col min="4" max="4" width="15" customWidth="1"/>
    <col min="5" max="5" width="13" customWidth="1"/>
  </cols>
  <sheetData>
    <row r="1" spans="1:5" ht="27.6" x14ac:dyDescent="0.3">
      <c r="A1" s="24" t="s">
        <v>20</v>
      </c>
      <c r="B1" s="24" t="s">
        <v>22</v>
      </c>
      <c r="C1" s="24" t="s">
        <v>79</v>
      </c>
      <c r="D1" s="24" t="s">
        <v>80</v>
      </c>
      <c r="E1" s="24" t="s">
        <v>81</v>
      </c>
    </row>
    <row r="2" spans="1:5" x14ac:dyDescent="0.3">
      <c r="A2" s="19" t="s">
        <v>26</v>
      </c>
      <c r="B2" s="19" t="s">
        <v>28</v>
      </c>
      <c r="C2" s="19" t="s">
        <v>82</v>
      </c>
      <c r="D2" s="19">
        <v>185.8</v>
      </c>
      <c r="E2" s="19">
        <v>180</v>
      </c>
    </row>
    <row r="3" spans="1:5" x14ac:dyDescent="0.3">
      <c r="A3" s="20" t="s">
        <v>26</v>
      </c>
      <c r="B3" s="20" t="s">
        <v>32</v>
      </c>
      <c r="C3" s="20" t="s">
        <v>83</v>
      </c>
      <c r="D3" s="20">
        <v>252</v>
      </c>
      <c r="E3" s="20">
        <v>230</v>
      </c>
    </row>
    <row r="4" spans="1:5" x14ac:dyDescent="0.3">
      <c r="A4" s="19" t="s">
        <v>26</v>
      </c>
      <c r="B4" s="19" t="s">
        <v>34</v>
      </c>
      <c r="C4" s="19" t="s">
        <v>82</v>
      </c>
      <c r="D4" s="19">
        <v>177.9</v>
      </c>
      <c r="E4" s="19">
        <v>175</v>
      </c>
    </row>
    <row r="5" spans="1:5" x14ac:dyDescent="0.3">
      <c r="A5" s="20" t="s">
        <v>36</v>
      </c>
      <c r="B5" s="20" t="s">
        <v>28</v>
      </c>
      <c r="C5" s="20" t="s">
        <v>82</v>
      </c>
      <c r="D5" s="20">
        <v>175.4</v>
      </c>
      <c r="E5" s="20">
        <v>180</v>
      </c>
    </row>
    <row r="6" spans="1:5" x14ac:dyDescent="0.3">
      <c r="A6" s="19" t="s">
        <v>36</v>
      </c>
      <c r="B6" s="19" t="s">
        <v>32</v>
      </c>
      <c r="C6" s="19" t="s">
        <v>83</v>
      </c>
      <c r="D6" s="19">
        <v>243</v>
      </c>
      <c r="E6" s="19">
        <v>230</v>
      </c>
    </row>
    <row r="7" spans="1:5" x14ac:dyDescent="0.3">
      <c r="A7" s="20" t="s">
        <v>36</v>
      </c>
      <c r="B7" s="20" t="s">
        <v>34</v>
      </c>
      <c r="C7" s="20" t="s">
        <v>82</v>
      </c>
      <c r="D7" s="20">
        <v>174.6</v>
      </c>
      <c r="E7" s="20">
        <v>175</v>
      </c>
    </row>
    <row r="8" spans="1:5" x14ac:dyDescent="0.3">
      <c r="A8" s="19" t="s">
        <v>37</v>
      </c>
      <c r="B8" s="19" t="s">
        <v>28</v>
      </c>
      <c r="C8" s="19" t="s">
        <v>82</v>
      </c>
      <c r="D8" s="19">
        <v>171.6</v>
      </c>
      <c r="E8" s="19">
        <v>180</v>
      </c>
    </row>
    <row r="9" spans="1:5" x14ac:dyDescent="0.3">
      <c r="A9" s="20" t="s">
        <v>37</v>
      </c>
      <c r="B9" s="20" t="s">
        <v>32</v>
      </c>
      <c r="C9" s="20" t="s">
        <v>83</v>
      </c>
      <c r="D9" s="20">
        <v>246.2</v>
      </c>
      <c r="E9" s="20">
        <v>230</v>
      </c>
    </row>
    <row r="10" spans="1:5" x14ac:dyDescent="0.3">
      <c r="A10" s="19" t="s">
        <v>37</v>
      </c>
      <c r="B10" s="19" t="s">
        <v>34</v>
      </c>
      <c r="C10" s="19" t="s">
        <v>82</v>
      </c>
      <c r="D10" s="19">
        <v>179.3</v>
      </c>
      <c r="E10" s="19">
        <v>175</v>
      </c>
    </row>
    <row r="11" spans="1:5" x14ac:dyDescent="0.3">
      <c r="A11" s="20" t="s">
        <v>38</v>
      </c>
      <c r="B11" s="20" t="s">
        <v>28</v>
      </c>
      <c r="C11" s="20" t="s">
        <v>82</v>
      </c>
      <c r="D11" s="20">
        <v>179</v>
      </c>
      <c r="E11" s="20">
        <v>180</v>
      </c>
    </row>
    <row r="12" spans="1:5" x14ac:dyDescent="0.3">
      <c r="A12" s="19" t="s">
        <v>38</v>
      </c>
      <c r="B12" s="19" t="s">
        <v>32</v>
      </c>
      <c r="C12" s="19" t="s">
        <v>83</v>
      </c>
      <c r="D12" s="19">
        <v>241.5</v>
      </c>
      <c r="E12" s="19">
        <v>230</v>
      </c>
    </row>
    <row r="13" spans="1:5" x14ac:dyDescent="0.3">
      <c r="A13" s="20" t="s">
        <v>38</v>
      </c>
      <c r="B13" s="20" t="s">
        <v>34</v>
      </c>
      <c r="C13" s="20" t="s">
        <v>82</v>
      </c>
      <c r="D13" s="20">
        <v>175.2</v>
      </c>
      <c r="E13" s="20">
        <v>175</v>
      </c>
    </row>
    <row r="14" spans="1:5" x14ac:dyDescent="0.3">
      <c r="A14" s="19" t="s">
        <v>39</v>
      </c>
      <c r="B14" s="19" t="s">
        <v>28</v>
      </c>
      <c r="C14" s="19" t="s">
        <v>82</v>
      </c>
      <c r="D14" s="19">
        <v>173.5</v>
      </c>
      <c r="E14" s="19">
        <v>180</v>
      </c>
    </row>
    <row r="15" spans="1:5" x14ac:dyDescent="0.3">
      <c r="A15" s="20" t="s">
        <v>39</v>
      </c>
      <c r="B15" s="20" t="s">
        <v>32</v>
      </c>
      <c r="C15" s="20" t="s">
        <v>83</v>
      </c>
      <c r="D15" s="20">
        <v>254.1</v>
      </c>
      <c r="E15" s="20">
        <v>230</v>
      </c>
    </row>
    <row r="16" spans="1:5" x14ac:dyDescent="0.3">
      <c r="A16" s="19" t="s">
        <v>39</v>
      </c>
      <c r="B16" s="19" t="s">
        <v>34</v>
      </c>
      <c r="C16" s="19" t="s">
        <v>82</v>
      </c>
      <c r="D16" s="19">
        <v>166.8</v>
      </c>
      <c r="E16" s="19">
        <v>175</v>
      </c>
    </row>
    <row r="17" spans="1:5" x14ac:dyDescent="0.3">
      <c r="A17" s="20" t="s">
        <v>40</v>
      </c>
      <c r="B17" s="20" t="s">
        <v>28</v>
      </c>
      <c r="C17" s="20" t="s">
        <v>82</v>
      </c>
      <c r="D17" s="20">
        <v>178.8</v>
      </c>
      <c r="E17" s="20">
        <v>180</v>
      </c>
    </row>
    <row r="18" spans="1:5" x14ac:dyDescent="0.3">
      <c r="A18" s="19" t="s">
        <v>40</v>
      </c>
      <c r="B18" s="19" t="s">
        <v>32</v>
      </c>
      <c r="C18" s="19" t="s">
        <v>83</v>
      </c>
      <c r="D18" s="19">
        <v>252.5</v>
      </c>
      <c r="E18" s="19">
        <v>230</v>
      </c>
    </row>
    <row r="19" spans="1:5" x14ac:dyDescent="0.3">
      <c r="A19" s="20" t="s">
        <v>40</v>
      </c>
      <c r="B19" s="20" t="s">
        <v>34</v>
      </c>
      <c r="C19" s="20" t="s">
        <v>82</v>
      </c>
      <c r="D19" s="20">
        <v>166.8</v>
      </c>
      <c r="E19" s="20">
        <v>175</v>
      </c>
    </row>
    <row r="20" spans="1:5" x14ac:dyDescent="0.3">
      <c r="A20" s="19" t="s">
        <v>41</v>
      </c>
      <c r="B20" s="19" t="s">
        <v>28</v>
      </c>
      <c r="C20" s="19" t="s">
        <v>82</v>
      </c>
      <c r="D20" s="19">
        <v>183.7</v>
      </c>
      <c r="E20" s="19">
        <v>180</v>
      </c>
    </row>
    <row r="21" spans="1:5" x14ac:dyDescent="0.3">
      <c r="A21" s="20" t="s">
        <v>41</v>
      </c>
      <c r="B21" s="20" t="s">
        <v>32</v>
      </c>
      <c r="C21" s="20" t="s">
        <v>83</v>
      </c>
      <c r="D21" s="20">
        <v>240.6</v>
      </c>
      <c r="E21" s="20">
        <v>230</v>
      </c>
    </row>
    <row r="22" spans="1:5" x14ac:dyDescent="0.3">
      <c r="A22" s="19" t="s">
        <v>41</v>
      </c>
      <c r="B22" s="19" t="s">
        <v>34</v>
      </c>
      <c r="C22" s="19" t="s">
        <v>82</v>
      </c>
      <c r="D22" s="19">
        <v>175.1</v>
      </c>
      <c r="E22" s="19">
        <v>175</v>
      </c>
    </row>
    <row r="23" spans="1:5" x14ac:dyDescent="0.3">
      <c r="A23" s="20" t="s">
        <v>42</v>
      </c>
      <c r="B23" s="20" t="s">
        <v>28</v>
      </c>
      <c r="C23" s="20" t="s">
        <v>82</v>
      </c>
      <c r="D23" s="20">
        <v>172</v>
      </c>
      <c r="E23" s="20">
        <v>180</v>
      </c>
    </row>
    <row r="24" spans="1:5" x14ac:dyDescent="0.3">
      <c r="A24" s="19" t="s">
        <v>42</v>
      </c>
      <c r="B24" s="19" t="s">
        <v>32</v>
      </c>
      <c r="C24" s="19" t="s">
        <v>83</v>
      </c>
      <c r="D24" s="19">
        <v>247.4</v>
      </c>
      <c r="E24" s="19">
        <v>230</v>
      </c>
    </row>
    <row r="25" spans="1:5" x14ac:dyDescent="0.3">
      <c r="A25" s="20" t="s">
        <v>42</v>
      </c>
      <c r="B25" s="20" t="s">
        <v>34</v>
      </c>
      <c r="C25" s="20" t="s">
        <v>82</v>
      </c>
      <c r="D25" s="20">
        <v>170.3</v>
      </c>
      <c r="E25" s="20">
        <v>175</v>
      </c>
    </row>
    <row r="26" spans="1:5" x14ac:dyDescent="0.3">
      <c r="A26" s="19" t="s">
        <v>43</v>
      </c>
      <c r="B26" s="19" t="s">
        <v>28</v>
      </c>
      <c r="C26" s="19" t="s">
        <v>82</v>
      </c>
      <c r="D26" s="19">
        <v>177.5</v>
      </c>
      <c r="E26" s="19">
        <v>180</v>
      </c>
    </row>
    <row r="27" spans="1:5" x14ac:dyDescent="0.3">
      <c r="A27" s="20" t="s">
        <v>43</v>
      </c>
      <c r="B27" s="20" t="s">
        <v>32</v>
      </c>
      <c r="C27" s="20" t="s">
        <v>83</v>
      </c>
      <c r="D27" s="20">
        <v>257.89999999999998</v>
      </c>
      <c r="E27" s="20">
        <v>230</v>
      </c>
    </row>
    <row r="28" spans="1:5" x14ac:dyDescent="0.3">
      <c r="A28" s="19" t="s">
        <v>43</v>
      </c>
      <c r="B28" s="19" t="s">
        <v>34</v>
      </c>
      <c r="C28" s="19" t="s">
        <v>82</v>
      </c>
      <c r="D28" s="19">
        <v>173.5</v>
      </c>
      <c r="E28" s="19">
        <v>175</v>
      </c>
    </row>
    <row r="29" spans="1:5" x14ac:dyDescent="0.3">
      <c r="A29" s="20" t="s">
        <v>44</v>
      </c>
      <c r="B29" s="20" t="s">
        <v>28</v>
      </c>
      <c r="C29" s="20" t="s">
        <v>82</v>
      </c>
      <c r="D29" s="20">
        <v>185.9</v>
      </c>
      <c r="E29" s="20">
        <v>180</v>
      </c>
    </row>
    <row r="30" spans="1:5" x14ac:dyDescent="0.3">
      <c r="A30" s="19" t="s">
        <v>44</v>
      </c>
      <c r="B30" s="19" t="s">
        <v>32</v>
      </c>
      <c r="C30" s="19" t="s">
        <v>83</v>
      </c>
      <c r="D30" s="19">
        <v>259.89999999999998</v>
      </c>
      <c r="E30" s="19">
        <v>230</v>
      </c>
    </row>
    <row r="31" spans="1:5" x14ac:dyDescent="0.3">
      <c r="A31" s="20" t="s">
        <v>44</v>
      </c>
      <c r="B31" s="20" t="s">
        <v>34</v>
      </c>
      <c r="C31" s="20" t="s">
        <v>82</v>
      </c>
      <c r="D31" s="20">
        <v>171.1</v>
      </c>
      <c r="E31" s="20">
        <v>175</v>
      </c>
    </row>
    <row r="32" spans="1:5" x14ac:dyDescent="0.3">
      <c r="A32" s="19" t="s">
        <v>45</v>
      </c>
      <c r="B32" s="19" t="s">
        <v>28</v>
      </c>
      <c r="C32" s="19" t="s">
        <v>82</v>
      </c>
      <c r="D32" s="19">
        <v>172.6</v>
      </c>
      <c r="E32" s="19">
        <v>180</v>
      </c>
    </row>
    <row r="33" spans="1:5" x14ac:dyDescent="0.3">
      <c r="A33" s="20" t="s">
        <v>45</v>
      </c>
      <c r="B33" s="20" t="s">
        <v>32</v>
      </c>
      <c r="C33" s="20" t="s">
        <v>83</v>
      </c>
      <c r="D33" s="20">
        <v>237.4</v>
      </c>
      <c r="E33" s="20">
        <v>230</v>
      </c>
    </row>
    <row r="34" spans="1:5" x14ac:dyDescent="0.3">
      <c r="A34" s="19" t="s">
        <v>45</v>
      </c>
      <c r="B34" s="19" t="s">
        <v>34</v>
      </c>
      <c r="C34" s="19" t="s">
        <v>82</v>
      </c>
      <c r="D34" s="19">
        <v>176.6</v>
      </c>
      <c r="E34" s="19">
        <v>175</v>
      </c>
    </row>
    <row r="35" spans="1:5" x14ac:dyDescent="0.3">
      <c r="A35" s="20" t="s">
        <v>46</v>
      </c>
      <c r="B35" s="20" t="s">
        <v>28</v>
      </c>
      <c r="C35" s="20" t="s">
        <v>82</v>
      </c>
      <c r="D35" s="20">
        <v>190.8</v>
      </c>
      <c r="E35" s="20">
        <v>180</v>
      </c>
    </row>
    <row r="36" spans="1:5" x14ac:dyDescent="0.3">
      <c r="A36" s="19" t="s">
        <v>46</v>
      </c>
      <c r="B36" s="19" t="s">
        <v>32</v>
      </c>
      <c r="C36" s="19" t="s">
        <v>83</v>
      </c>
      <c r="D36" s="19">
        <v>246.6</v>
      </c>
      <c r="E36" s="19">
        <v>230</v>
      </c>
    </row>
    <row r="37" spans="1:5" x14ac:dyDescent="0.3">
      <c r="A37" s="20" t="s">
        <v>46</v>
      </c>
      <c r="B37" s="20" t="s">
        <v>34</v>
      </c>
      <c r="C37" s="20" t="s">
        <v>82</v>
      </c>
      <c r="D37" s="20">
        <v>178.8</v>
      </c>
      <c r="E37" s="20">
        <v>175</v>
      </c>
    </row>
    <row r="38" spans="1:5" x14ac:dyDescent="0.3">
      <c r="A38" s="19" t="s">
        <v>47</v>
      </c>
      <c r="B38" s="19" t="s">
        <v>28</v>
      </c>
      <c r="C38" s="19" t="s">
        <v>82</v>
      </c>
      <c r="D38" s="19">
        <v>186.5</v>
      </c>
      <c r="E38" s="19">
        <v>180</v>
      </c>
    </row>
    <row r="39" spans="1:5" x14ac:dyDescent="0.3">
      <c r="A39" s="20" t="s">
        <v>47</v>
      </c>
      <c r="B39" s="20" t="s">
        <v>32</v>
      </c>
      <c r="C39" s="20" t="s">
        <v>83</v>
      </c>
      <c r="D39" s="20">
        <v>254.9</v>
      </c>
      <c r="E39" s="20">
        <v>230</v>
      </c>
    </row>
    <row r="40" spans="1:5" x14ac:dyDescent="0.3">
      <c r="A40" s="19" t="s">
        <v>47</v>
      </c>
      <c r="B40" s="19" t="s">
        <v>34</v>
      </c>
      <c r="C40" s="19" t="s">
        <v>82</v>
      </c>
      <c r="D40" s="19">
        <v>180.8</v>
      </c>
      <c r="E40" s="19">
        <v>175</v>
      </c>
    </row>
    <row r="41" spans="1:5" x14ac:dyDescent="0.3">
      <c r="A41" s="20" t="s">
        <v>48</v>
      </c>
      <c r="B41" s="20" t="s">
        <v>28</v>
      </c>
      <c r="C41" s="20" t="s">
        <v>82</v>
      </c>
      <c r="D41" s="20">
        <v>189.8</v>
      </c>
      <c r="E41" s="20">
        <v>180</v>
      </c>
    </row>
    <row r="42" spans="1:5" x14ac:dyDescent="0.3">
      <c r="A42" s="19" t="s">
        <v>48</v>
      </c>
      <c r="B42" s="19" t="s">
        <v>32</v>
      </c>
      <c r="C42" s="19" t="s">
        <v>83</v>
      </c>
      <c r="D42" s="19">
        <v>242.4</v>
      </c>
      <c r="E42" s="19">
        <v>230</v>
      </c>
    </row>
    <row r="43" spans="1:5" x14ac:dyDescent="0.3">
      <c r="A43" s="20" t="s">
        <v>48</v>
      </c>
      <c r="B43" s="20" t="s">
        <v>34</v>
      </c>
      <c r="C43" s="20" t="s">
        <v>82</v>
      </c>
      <c r="D43" s="20">
        <v>166.6</v>
      </c>
      <c r="E43" s="20">
        <v>175</v>
      </c>
    </row>
    <row r="44" spans="1:5" x14ac:dyDescent="0.3">
      <c r="A44" s="19" t="s">
        <v>49</v>
      </c>
      <c r="B44" s="19" t="s">
        <v>28</v>
      </c>
      <c r="C44" s="19" t="s">
        <v>82</v>
      </c>
      <c r="D44" s="19">
        <v>174</v>
      </c>
      <c r="E44" s="19">
        <v>180</v>
      </c>
    </row>
    <row r="45" spans="1:5" x14ac:dyDescent="0.3">
      <c r="A45" s="20" t="s">
        <v>49</v>
      </c>
      <c r="B45" s="20" t="s">
        <v>32</v>
      </c>
      <c r="C45" s="20" t="s">
        <v>83</v>
      </c>
      <c r="D45" s="20">
        <v>240.4</v>
      </c>
      <c r="E45" s="20">
        <v>230</v>
      </c>
    </row>
    <row r="46" spans="1:5" x14ac:dyDescent="0.3">
      <c r="A46" s="19" t="s">
        <v>49</v>
      </c>
      <c r="B46" s="19" t="s">
        <v>34</v>
      </c>
      <c r="C46" s="19" t="s">
        <v>82</v>
      </c>
      <c r="D46" s="19">
        <v>179.1</v>
      </c>
      <c r="E46" s="19">
        <v>175</v>
      </c>
    </row>
    <row r="47" spans="1:5" x14ac:dyDescent="0.3">
      <c r="A47" s="20" t="s">
        <v>50</v>
      </c>
      <c r="B47" s="20" t="s">
        <v>28</v>
      </c>
      <c r="C47" s="20" t="s">
        <v>82</v>
      </c>
      <c r="D47" s="20">
        <v>182.2</v>
      </c>
      <c r="E47" s="20">
        <v>180</v>
      </c>
    </row>
    <row r="48" spans="1:5" x14ac:dyDescent="0.3">
      <c r="A48" s="19" t="s">
        <v>50</v>
      </c>
      <c r="B48" s="19" t="s">
        <v>32</v>
      </c>
      <c r="C48" s="19" t="s">
        <v>83</v>
      </c>
      <c r="D48" s="19">
        <v>242.9</v>
      </c>
      <c r="E48" s="19">
        <v>230</v>
      </c>
    </row>
    <row r="49" spans="1:5" x14ac:dyDescent="0.3">
      <c r="A49" s="20" t="s">
        <v>50</v>
      </c>
      <c r="B49" s="20" t="s">
        <v>34</v>
      </c>
      <c r="C49" s="20" t="s">
        <v>82</v>
      </c>
      <c r="D49" s="20">
        <v>179.7</v>
      </c>
      <c r="E49" s="20">
        <v>175</v>
      </c>
    </row>
    <row r="50" spans="1:5" x14ac:dyDescent="0.3">
      <c r="A50" s="19" t="s">
        <v>51</v>
      </c>
      <c r="B50" s="19" t="s">
        <v>28</v>
      </c>
      <c r="C50" s="19" t="s">
        <v>82</v>
      </c>
      <c r="D50" s="19">
        <v>186.2</v>
      </c>
      <c r="E50" s="19">
        <v>180</v>
      </c>
    </row>
    <row r="51" spans="1:5" x14ac:dyDescent="0.3">
      <c r="A51" s="20" t="s">
        <v>51</v>
      </c>
      <c r="B51" s="20" t="s">
        <v>32</v>
      </c>
      <c r="C51" s="20" t="s">
        <v>83</v>
      </c>
      <c r="D51" s="20">
        <v>241.5</v>
      </c>
      <c r="E51" s="20">
        <v>230</v>
      </c>
    </row>
    <row r="52" spans="1:5" x14ac:dyDescent="0.3">
      <c r="A52" s="19" t="s">
        <v>51</v>
      </c>
      <c r="B52" s="19" t="s">
        <v>34</v>
      </c>
      <c r="C52" s="19" t="s">
        <v>82</v>
      </c>
      <c r="D52" s="19">
        <v>177.9</v>
      </c>
      <c r="E52" s="19">
        <v>175</v>
      </c>
    </row>
    <row r="53" spans="1:5" x14ac:dyDescent="0.3">
      <c r="A53" s="20" t="s">
        <v>52</v>
      </c>
      <c r="B53" s="20" t="s">
        <v>28</v>
      </c>
      <c r="C53" s="20" t="s">
        <v>82</v>
      </c>
      <c r="D53" s="20">
        <v>185.8</v>
      </c>
      <c r="E53" s="20">
        <v>180</v>
      </c>
    </row>
    <row r="54" spans="1:5" x14ac:dyDescent="0.3">
      <c r="A54" s="19" t="s">
        <v>52</v>
      </c>
      <c r="B54" s="19" t="s">
        <v>32</v>
      </c>
      <c r="C54" s="19" t="s">
        <v>83</v>
      </c>
      <c r="D54" s="19">
        <v>240.1</v>
      </c>
      <c r="E54" s="19">
        <v>230</v>
      </c>
    </row>
    <row r="55" spans="1:5" x14ac:dyDescent="0.3">
      <c r="A55" s="20" t="s">
        <v>52</v>
      </c>
      <c r="B55" s="20" t="s">
        <v>34</v>
      </c>
      <c r="C55" s="20" t="s">
        <v>82</v>
      </c>
      <c r="D55" s="20">
        <v>182</v>
      </c>
      <c r="E55" s="20">
        <v>175</v>
      </c>
    </row>
    <row r="56" spans="1:5" x14ac:dyDescent="0.3">
      <c r="A56" s="19" t="s">
        <v>53</v>
      </c>
      <c r="B56" s="19" t="s">
        <v>28</v>
      </c>
      <c r="C56" s="19" t="s">
        <v>82</v>
      </c>
      <c r="D56" s="19">
        <v>190.1</v>
      </c>
      <c r="E56" s="19">
        <v>180</v>
      </c>
    </row>
    <row r="57" spans="1:5" x14ac:dyDescent="0.3">
      <c r="A57" s="20" t="s">
        <v>53</v>
      </c>
      <c r="B57" s="20" t="s">
        <v>32</v>
      </c>
      <c r="C57" s="20" t="s">
        <v>83</v>
      </c>
      <c r="D57" s="20">
        <v>239.9</v>
      </c>
      <c r="E57" s="20">
        <v>230</v>
      </c>
    </row>
    <row r="58" spans="1:5" x14ac:dyDescent="0.3">
      <c r="A58" s="19" t="s">
        <v>53</v>
      </c>
      <c r="B58" s="19" t="s">
        <v>34</v>
      </c>
      <c r="C58" s="19" t="s">
        <v>82</v>
      </c>
      <c r="D58" s="19">
        <v>166.7</v>
      </c>
      <c r="E58" s="19">
        <v>175</v>
      </c>
    </row>
    <row r="59" spans="1:5" x14ac:dyDescent="0.3">
      <c r="A59" s="20" t="s">
        <v>54</v>
      </c>
      <c r="B59" s="20" t="s">
        <v>28</v>
      </c>
      <c r="C59" s="20" t="s">
        <v>82</v>
      </c>
      <c r="D59" s="20">
        <v>177.2</v>
      </c>
      <c r="E59" s="20">
        <v>180</v>
      </c>
    </row>
    <row r="60" spans="1:5" x14ac:dyDescent="0.3">
      <c r="A60" s="19" t="s">
        <v>54</v>
      </c>
      <c r="B60" s="19" t="s">
        <v>32</v>
      </c>
      <c r="C60" s="19" t="s">
        <v>83</v>
      </c>
      <c r="D60" s="19">
        <v>255.6</v>
      </c>
      <c r="E60" s="19">
        <v>230</v>
      </c>
    </row>
    <row r="61" spans="1:5" x14ac:dyDescent="0.3">
      <c r="A61" s="20" t="s">
        <v>54</v>
      </c>
      <c r="B61" s="20" t="s">
        <v>34</v>
      </c>
      <c r="C61" s="20" t="s">
        <v>82</v>
      </c>
      <c r="D61" s="20">
        <v>184.7</v>
      </c>
      <c r="E61" s="20">
        <v>175</v>
      </c>
    </row>
    <row r="62" spans="1:5" x14ac:dyDescent="0.3">
      <c r="A62" s="19" t="s">
        <v>55</v>
      </c>
      <c r="B62" s="19" t="s">
        <v>28</v>
      </c>
      <c r="C62" s="19" t="s">
        <v>82</v>
      </c>
      <c r="D62" s="19">
        <v>178.9</v>
      </c>
      <c r="E62" s="19">
        <v>180</v>
      </c>
    </row>
    <row r="63" spans="1:5" x14ac:dyDescent="0.3">
      <c r="A63" s="20" t="s">
        <v>55</v>
      </c>
      <c r="B63" s="20" t="s">
        <v>32</v>
      </c>
      <c r="C63" s="20" t="s">
        <v>83</v>
      </c>
      <c r="D63" s="20">
        <v>256.60000000000002</v>
      </c>
      <c r="E63" s="20">
        <v>230</v>
      </c>
    </row>
    <row r="64" spans="1:5" x14ac:dyDescent="0.3">
      <c r="A64" s="19" t="s">
        <v>55</v>
      </c>
      <c r="B64" s="19" t="s">
        <v>34</v>
      </c>
      <c r="C64" s="19" t="s">
        <v>82</v>
      </c>
      <c r="D64" s="19">
        <v>167.7</v>
      </c>
      <c r="E64" s="19">
        <v>175</v>
      </c>
    </row>
    <row r="65" spans="1:5" x14ac:dyDescent="0.3">
      <c r="A65" s="20" t="s">
        <v>56</v>
      </c>
      <c r="B65" s="20" t="s">
        <v>28</v>
      </c>
      <c r="C65" s="20" t="s">
        <v>82</v>
      </c>
      <c r="D65" s="20">
        <v>184.7</v>
      </c>
      <c r="E65" s="20">
        <v>180</v>
      </c>
    </row>
    <row r="66" spans="1:5" x14ac:dyDescent="0.3">
      <c r="A66" s="19" t="s">
        <v>56</v>
      </c>
      <c r="B66" s="19" t="s">
        <v>32</v>
      </c>
      <c r="C66" s="19" t="s">
        <v>83</v>
      </c>
      <c r="D66" s="19">
        <v>254.2</v>
      </c>
      <c r="E66" s="19">
        <v>230</v>
      </c>
    </row>
    <row r="67" spans="1:5" x14ac:dyDescent="0.3">
      <c r="A67" s="20" t="s">
        <v>56</v>
      </c>
      <c r="B67" s="20" t="s">
        <v>34</v>
      </c>
      <c r="C67" s="20" t="s">
        <v>82</v>
      </c>
      <c r="D67" s="20">
        <v>168.2</v>
      </c>
      <c r="E67" s="20">
        <v>175</v>
      </c>
    </row>
    <row r="68" spans="1:5" x14ac:dyDescent="0.3">
      <c r="A68" s="19" t="s">
        <v>57</v>
      </c>
      <c r="B68" s="19" t="s">
        <v>28</v>
      </c>
      <c r="C68" s="19" t="s">
        <v>82</v>
      </c>
      <c r="D68" s="19">
        <v>186.3</v>
      </c>
      <c r="E68" s="19">
        <v>180</v>
      </c>
    </row>
    <row r="69" spans="1:5" x14ac:dyDescent="0.3">
      <c r="A69" s="20" t="s">
        <v>57</v>
      </c>
      <c r="B69" s="20" t="s">
        <v>32</v>
      </c>
      <c r="C69" s="20" t="s">
        <v>83</v>
      </c>
      <c r="D69" s="20">
        <v>260.39999999999998</v>
      </c>
      <c r="E69" s="20">
        <v>230</v>
      </c>
    </row>
    <row r="70" spans="1:5" x14ac:dyDescent="0.3">
      <c r="A70" s="19" t="s">
        <v>57</v>
      </c>
      <c r="B70" s="19" t="s">
        <v>34</v>
      </c>
      <c r="C70" s="19" t="s">
        <v>82</v>
      </c>
      <c r="D70" s="19">
        <v>177.8</v>
      </c>
      <c r="E70" s="19">
        <v>175</v>
      </c>
    </row>
    <row r="71" spans="1:5" x14ac:dyDescent="0.3">
      <c r="A71" s="20" t="s">
        <v>58</v>
      </c>
      <c r="B71" s="20" t="s">
        <v>28</v>
      </c>
      <c r="C71" s="20" t="s">
        <v>82</v>
      </c>
      <c r="D71" s="20">
        <v>173.4</v>
      </c>
      <c r="E71" s="20">
        <v>180</v>
      </c>
    </row>
    <row r="72" spans="1:5" x14ac:dyDescent="0.3">
      <c r="A72" s="19" t="s">
        <v>58</v>
      </c>
      <c r="B72" s="19" t="s">
        <v>32</v>
      </c>
      <c r="C72" s="19" t="s">
        <v>83</v>
      </c>
      <c r="D72" s="19">
        <v>264.10000000000002</v>
      </c>
      <c r="E72" s="19">
        <v>230</v>
      </c>
    </row>
    <row r="73" spans="1:5" x14ac:dyDescent="0.3">
      <c r="A73" s="20" t="s">
        <v>58</v>
      </c>
      <c r="B73" s="20" t="s">
        <v>34</v>
      </c>
      <c r="C73" s="20" t="s">
        <v>82</v>
      </c>
      <c r="D73" s="20">
        <v>181.3</v>
      </c>
      <c r="E73" s="20">
        <v>175</v>
      </c>
    </row>
    <row r="74" spans="1:5" x14ac:dyDescent="0.3">
      <c r="A74" s="19" t="s">
        <v>59</v>
      </c>
      <c r="B74" s="19" t="s">
        <v>28</v>
      </c>
      <c r="C74" s="19" t="s">
        <v>82</v>
      </c>
      <c r="D74" s="19">
        <v>177.9</v>
      </c>
      <c r="E74" s="19">
        <v>180</v>
      </c>
    </row>
    <row r="75" spans="1:5" x14ac:dyDescent="0.3">
      <c r="A75" s="20" t="s">
        <v>59</v>
      </c>
      <c r="B75" s="20" t="s">
        <v>32</v>
      </c>
      <c r="C75" s="20" t="s">
        <v>83</v>
      </c>
      <c r="D75" s="20">
        <v>248.7</v>
      </c>
      <c r="E75" s="20">
        <v>230</v>
      </c>
    </row>
    <row r="76" spans="1:5" x14ac:dyDescent="0.3">
      <c r="A76" s="19" t="s">
        <v>59</v>
      </c>
      <c r="B76" s="19" t="s">
        <v>34</v>
      </c>
      <c r="C76" s="19" t="s">
        <v>82</v>
      </c>
      <c r="D76" s="19">
        <v>173.4</v>
      </c>
      <c r="E76" s="19">
        <v>175</v>
      </c>
    </row>
    <row r="77" spans="1:5" x14ac:dyDescent="0.3">
      <c r="A77" s="20" t="s">
        <v>60</v>
      </c>
      <c r="B77" s="20" t="s">
        <v>28</v>
      </c>
      <c r="C77" s="20" t="s">
        <v>82</v>
      </c>
      <c r="D77" s="20">
        <v>181</v>
      </c>
      <c r="E77" s="20">
        <v>180</v>
      </c>
    </row>
    <row r="78" spans="1:5" x14ac:dyDescent="0.3">
      <c r="A78" s="19" t="s">
        <v>60</v>
      </c>
      <c r="B78" s="19" t="s">
        <v>32</v>
      </c>
      <c r="C78" s="19" t="s">
        <v>83</v>
      </c>
      <c r="D78" s="19">
        <v>246.3</v>
      </c>
      <c r="E78" s="19">
        <v>230</v>
      </c>
    </row>
    <row r="79" spans="1:5" x14ac:dyDescent="0.3">
      <c r="A79" s="20" t="s">
        <v>60</v>
      </c>
      <c r="B79" s="20" t="s">
        <v>34</v>
      </c>
      <c r="C79" s="20" t="s">
        <v>82</v>
      </c>
      <c r="D79" s="20">
        <v>182.6</v>
      </c>
      <c r="E79" s="20">
        <v>175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2:G11"/>
  <sheetViews>
    <sheetView showGridLines="0" zoomScaleNormal="100" workbookViewId="0"/>
  </sheetViews>
  <sheetFormatPr defaultColWidth="8.6640625" defaultRowHeight="14.4" x14ac:dyDescent="0.3"/>
  <cols>
    <col min="1" max="1" width="2" customWidth="1"/>
    <col min="2" max="2" width="18" customWidth="1"/>
    <col min="3" max="6" width="14" customWidth="1"/>
  </cols>
  <sheetData>
    <row r="2" spans="2:7" ht="25.5" customHeight="1" x14ac:dyDescent="0.3">
      <c r="B2" s="12" t="s">
        <v>84</v>
      </c>
      <c r="C2" s="12"/>
      <c r="D2" s="12"/>
      <c r="E2" s="12"/>
      <c r="F2" s="12"/>
      <c r="G2" s="12"/>
    </row>
    <row r="3" spans="2:7" x14ac:dyDescent="0.3">
      <c r="B3" s="11" t="s">
        <v>85</v>
      </c>
      <c r="C3" s="11"/>
      <c r="D3" s="11"/>
      <c r="E3" s="11"/>
      <c r="F3" s="11"/>
      <c r="G3" s="11"/>
    </row>
    <row r="5" spans="2:7" x14ac:dyDescent="0.3">
      <c r="B5" s="18" t="s">
        <v>86</v>
      </c>
      <c r="C5" s="25" t="s">
        <v>29</v>
      </c>
      <c r="D5" s="25" t="s">
        <v>33</v>
      </c>
      <c r="E5" s="25" t="s">
        <v>35</v>
      </c>
      <c r="F5" s="18" t="s">
        <v>87</v>
      </c>
    </row>
    <row r="6" spans="2:7" x14ac:dyDescent="0.3">
      <c r="B6" s="25" t="s">
        <v>28</v>
      </c>
      <c r="C6" s="26">
        <f>SUMPRODUCT(('1.Data_Produksi'!$C$2:$C$235="M-01")*('1.Data_Produksi'!$D$2:$D$235="Arm Bawah")*('1.Data_Produksi'!$E$2:$E$235))</f>
        <v>24212</v>
      </c>
      <c r="D6" s="26">
        <f>SUMPRODUCT(('1.Data_Produksi'!$C$2:$C$235="M-01")*('1.Data_Produksi'!$D$2:$D$235="Knuckle")*('1.Data_Produksi'!$E$2:$E$235))</f>
        <v>0</v>
      </c>
      <c r="E6" s="26">
        <f>SUMPRODUCT(('1.Data_Produksi'!$C$2:$C$235="M-01")*('1.Data_Produksi'!$D$2:$D$235="Bracket")*('1.Data_Produksi'!$E$2:$E$235))</f>
        <v>0</v>
      </c>
      <c r="F6" s="27">
        <f>SUM(C6:E6)</f>
        <v>24212</v>
      </c>
    </row>
    <row r="7" spans="2:7" x14ac:dyDescent="0.3">
      <c r="B7" s="25" t="s">
        <v>32</v>
      </c>
      <c r="C7" s="28">
        <f>SUMPRODUCT(('1.Data_Produksi'!$C$2:$C$235="M-02")*('1.Data_Produksi'!$D$2:$D$235="Arm Bawah")*('1.Data_Produksi'!$E$2:$E$235))</f>
        <v>0</v>
      </c>
      <c r="D7" s="28">
        <f>SUMPRODUCT(('1.Data_Produksi'!$C$2:$C$235="M-02")*('1.Data_Produksi'!$D$2:$D$235="Knuckle")*('1.Data_Produksi'!$E$2:$E$235))</f>
        <v>13065</v>
      </c>
      <c r="E7" s="28">
        <f>SUMPRODUCT(('1.Data_Produksi'!$C$2:$C$235="M-02")*('1.Data_Produksi'!$D$2:$D$235="Bracket")*('1.Data_Produksi'!$E$2:$E$235))</f>
        <v>0</v>
      </c>
      <c r="F7" s="27">
        <f>SUM(C7:E7)</f>
        <v>13065</v>
      </c>
    </row>
    <row r="8" spans="2:7" x14ac:dyDescent="0.3">
      <c r="B8" s="25" t="s">
        <v>34</v>
      </c>
      <c r="C8" s="26">
        <f>SUMPRODUCT(('1.Data_Produksi'!$C$2:$C$235="M-03")*('1.Data_Produksi'!$D$2:$D$235="Arm Bawah")*('1.Data_Produksi'!$E$2:$E$235))</f>
        <v>0</v>
      </c>
      <c r="D8" s="26">
        <f>SUMPRODUCT(('1.Data_Produksi'!$C$2:$C$235="M-03")*('1.Data_Produksi'!$D$2:$D$235="Knuckle")*('1.Data_Produksi'!$E$2:$E$235))</f>
        <v>0</v>
      </c>
      <c r="E8" s="26">
        <f>SUMPRODUCT(('1.Data_Produksi'!$C$2:$C$235="M-03")*('1.Data_Produksi'!$D$2:$D$235="Bracket")*('1.Data_Produksi'!$E$2:$E$235))</f>
        <v>30018</v>
      </c>
      <c r="F8" s="27">
        <f>SUM(C8:E8)</f>
        <v>30018</v>
      </c>
    </row>
    <row r="9" spans="2:7" x14ac:dyDescent="0.3">
      <c r="B9" s="18" t="s">
        <v>88</v>
      </c>
      <c r="C9" s="29">
        <f>SUM(C6:C8)</f>
        <v>24212</v>
      </c>
      <c r="D9" s="29">
        <f>SUM(D6:D8)</f>
        <v>13065</v>
      </c>
      <c r="E9" s="29">
        <f>SUM(E6:E8)</f>
        <v>30018</v>
      </c>
      <c r="F9" s="29">
        <f>SUM(F6:F8)</f>
        <v>67295</v>
      </c>
    </row>
    <row r="11" spans="2:7" ht="21.75" customHeight="1" x14ac:dyDescent="0.3">
      <c r="B11" s="10" t="s">
        <v>89</v>
      </c>
      <c r="C11" s="10"/>
      <c r="D11" s="10"/>
      <c r="E11" s="10"/>
      <c r="F11" s="10"/>
      <c r="G11" s="10"/>
    </row>
  </sheetData>
  <mergeCells count="3">
    <mergeCell ref="B2:G2"/>
    <mergeCell ref="B3:G3"/>
    <mergeCell ref="B11:G11"/>
  </mergeCells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2:G9"/>
  <sheetViews>
    <sheetView showGridLines="0" zoomScaleNormal="100" workbookViewId="0">
      <selection activeCell="F17" sqref="F17"/>
    </sheetView>
  </sheetViews>
  <sheetFormatPr defaultColWidth="8.6640625" defaultRowHeight="14.4" x14ac:dyDescent="0.3"/>
  <cols>
    <col min="1" max="1" width="2" customWidth="1"/>
    <col min="2" max="2" width="10" customWidth="1"/>
    <col min="3" max="3" width="15" customWidth="1"/>
    <col min="4" max="4" width="14" customWidth="1"/>
    <col min="5" max="5" width="16" customWidth="1"/>
    <col min="6" max="6" width="18" customWidth="1"/>
  </cols>
  <sheetData>
    <row r="2" spans="2:7" ht="25.5" customHeight="1" x14ac:dyDescent="0.3">
      <c r="B2" s="9" t="s">
        <v>90</v>
      </c>
      <c r="C2" s="9"/>
      <c r="D2" s="9"/>
      <c r="E2" s="9"/>
      <c r="F2" s="9"/>
      <c r="G2" s="9"/>
    </row>
    <row r="3" spans="2:7" x14ac:dyDescent="0.3">
      <c r="B3" s="11" t="s">
        <v>91</v>
      </c>
      <c r="C3" s="11"/>
      <c r="D3" s="11"/>
      <c r="E3" s="11"/>
      <c r="F3" s="11"/>
      <c r="G3" s="11"/>
    </row>
    <row r="5" spans="2:7" ht="27.6" x14ac:dyDescent="0.3">
      <c r="B5" s="21" t="s">
        <v>92</v>
      </c>
      <c r="C5" s="21" t="s">
        <v>93</v>
      </c>
      <c r="D5" s="21" t="s">
        <v>94</v>
      </c>
      <c r="E5" s="21" t="s">
        <v>95</v>
      </c>
      <c r="F5" s="21" t="s">
        <v>96</v>
      </c>
    </row>
    <row r="6" spans="2:7" x14ac:dyDescent="0.3">
      <c r="B6" s="30" t="s">
        <v>28</v>
      </c>
      <c r="C6" s="26">
        <f>SUMIF('1.Data_Produksi'!$C$2:$C$235,B6,'1.Data_Produksi'!$E$2:$E$235)</f>
        <v>24212</v>
      </c>
      <c r="D6" s="26">
        <f>SUMIF('2.Data_Reject'!$B$2:$B$79,B6,'2.Data_Reject'!$D$2:$D$79)</f>
        <v>253</v>
      </c>
      <c r="E6" s="31">
        <f>IF(C6&gt;0,D6/C6*100,0)</f>
        <v>1.0449363951759458</v>
      </c>
      <c r="F6" s="32" t="str">
        <f>IF(E6&gt;5,"PERLU PERHATIAN","OK")</f>
        <v>OK</v>
      </c>
    </row>
    <row r="7" spans="2:7" x14ac:dyDescent="0.3">
      <c r="B7" s="30" t="s">
        <v>32</v>
      </c>
      <c r="C7" s="28">
        <f>SUMIF('1.Data_Produksi'!$C$2:$C$235,B7,'1.Data_Produksi'!$E$2:$E$235)</f>
        <v>13065</v>
      </c>
      <c r="D7" s="26">
        <f>SUMIF('2.Data_Reject'!$B$2:$B$79,B7,'2.Data_Reject'!$D$2:$D$79)</f>
        <v>686</v>
      </c>
      <c r="E7" s="31">
        <f t="shared" ref="E7:E8" si="0">IF(C7&gt;0,D7/C7*100,0)</f>
        <v>5.2506697282816681</v>
      </c>
      <c r="F7" s="32" t="str">
        <f>IF(E7&gt;5,"PERLU PERHATIAN","OK")</f>
        <v>PERLU PERHATIAN</v>
      </c>
    </row>
    <row r="8" spans="2:7" x14ac:dyDescent="0.3">
      <c r="B8" s="30" t="s">
        <v>34</v>
      </c>
      <c r="C8" s="26">
        <f>SUMIF('1.Data_Produksi'!$C$2:$C$235,B8,'1.Data_Produksi'!$E$2:$E$235)</f>
        <v>30018</v>
      </c>
      <c r="D8" s="26">
        <f>SUMIF('2.Data_Reject'!$B$2:$B$79,B8,'2.Data_Reject'!$D$2:$D$79)</f>
        <v>338</v>
      </c>
      <c r="E8" s="31">
        <f t="shared" si="0"/>
        <v>1.1259910720234527</v>
      </c>
      <c r="F8" s="32" t="str">
        <f>IF(E8&gt;5,"PERLU PERHATIAN","OK")</f>
        <v>OK</v>
      </c>
    </row>
    <row r="9" spans="2:7" ht="21.75" customHeight="1" x14ac:dyDescent="0.3">
      <c r="B9" s="8" t="s">
        <v>97</v>
      </c>
      <c r="C9" s="8"/>
      <c r="D9" s="8"/>
      <c r="E9" s="8"/>
      <c r="F9" s="8"/>
      <c r="G9" s="8"/>
    </row>
  </sheetData>
  <mergeCells count="3">
    <mergeCell ref="B2:G2"/>
    <mergeCell ref="B3:G3"/>
    <mergeCell ref="B9:G9"/>
  </mergeCells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2:H37"/>
  <sheetViews>
    <sheetView showGridLines="0" topLeftCell="B1" zoomScaleNormal="100" workbookViewId="0">
      <pane ySplit="1" topLeftCell="A6" activePane="bottomLeft" state="frozen"/>
      <selection pane="bottomLeft" activeCell="K25" sqref="K25"/>
    </sheetView>
  </sheetViews>
  <sheetFormatPr defaultColWidth="8.6640625" defaultRowHeight="14.4" x14ac:dyDescent="0.3"/>
  <cols>
    <col min="1" max="1" width="13" customWidth="1"/>
    <col min="2" max="2" width="9" customWidth="1"/>
    <col min="3" max="3" width="11" customWidth="1"/>
    <col min="4" max="4" width="13" customWidth="1"/>
    <col min="5" max="6" width="14" customWidth="1"/>
    <col min="7" max="7" width="18" customWidth="1"/>
    <col min="8" max="8" width="17.109375" customWidth="1"/>
    <col min="14" max="14" width="22.21875" bestFit="1" customWidth="1"/>
    <col min="15" max="15" width="15.5546875" bestFit="1" customWidth="1"/>
    <col min="16" max="16" width="7.33203125" bestFit="1" customWidth="1"/>
    <col min="17" max="17" width="7.6640625" bestFit="1" customWidth="1"/>
    <col min="18" max="18" width="10.77734375" bestFit="1" customWidth="1"/>
  </cols>
  <sheetData>
    <row r="2" spans="1:8" ht="25.5" customHeight="1" x14ac:dyDescent="0.3">
      <c r="A2" s="7" t="s">
        <v>98</v>
      </c>
      <c r="B2" s="7"/>
      <c r="C2" s="7"/>
      <c r="D2" s="7"/>
      <c r="E2" s="7"/>
      <c r="F2" s="7"/>
      <c r="G2" s="7"/>
      <c r="H2" s="7"/>
    </row>
    <row r="3" spans="1:8" x14ac:dyDescent="0.3">
      <c r="A3" s="11" t="s">
        <v>99</v>
      </c>
      <c r="B3" s="11"/>
      <c r="C3" s="11"/>
      <c r="D3" s="11"/>
      <c r="E3" s="11"/>
      <c r="F3" s="11"/>
      <c r="G3" s="11"/>
      <c r="H3" s="11"/>
    </row>
    <row r="5" spans="1:8" ht="21.75" customHeight="1" x14ac:dyDescent="0.3">
      <c r="A5" s="22" t="s">
        <v>20</v>
      </c>
      <c r="B5" s="22" t="s">
        <v>21</v>
      </c>
      <c r="C5" s="22" t="s">
        <v>22</v>
      </c>
      <c r="D5" s="22" t="s">
        <v>23</v>
      </c>
      <c r="E5" s="22" t="s">
        <v>24</v>
      </c>
      <c r="F5" s="22" t="s">
        <v>25</v>
      </c>
      <c r="G5" s="22" t="s">
        <v>100</v>
      </c>
      <c r="H5" s="22" t="s">
        <v>101</v>
      </c>
    </row>
    <row r="6" spans="1:8" x14ac:dyDescent="0.3">
      <c r="A6" s="33" t="s">
        <v>26</v>
      </c>
      <c r="B6" s="33" t="s">
        <v>27</v>
      </c>
      <c r="C6" s="33" t="s">
        <v>28</v>
      </c>
      <c r="D6" s="33" t="s">
        <v>29</v>
      </c>
      <c r="E6" s="33">
        <v>316</v>
      </c>
      <c r="F6" s="33">
        <v>320</v>
      </c>
      <c r="G6" s="34" t="str">
        <f t="shared" ref="G6:G35" si="0">A6&amp;C6</f>
        <v>2024-01-02M-01</v>
      </c>
      <c r="H6" s="35">
        <f>IFERROR(VLOOKUP(G6,'3.Data_Downtime'!$E$2:$F$100,2,0),0)</f>
        <v>0</v>
      </c>
    </row>
    <row r="7" spans="1:8" x14ac:dyDescent="0.3">
      <c r="A7" s="36" t="s">
        <v>26</v>
      </c>
      <c r="B7" s="36" t="s">
        <v>30</v>
      </c>
      <c r="C7" s="36" t="s">
        <v>28</v>
      </c>
      <c r="D7" s="36" t="s">
        <v>29</v>
      </c>
      <c r="E7" s="36">
        <v>282</v>
      </c>
      <c r="F7" s="36">
        <v>320</v>
      </c>
      <c r="G7" s="34" t="str">
        <f t="shared" si="0"/>
        <v>2024-01-02M-01</v>
      </c>
      <c r="H7" s="35">
        <f>IFERROR(VLOOKUP(G7,'3.Data_Downtime'!$E$2:$F$100,2,0),0)</f>
        <v>0</v>
      </c>
    </row>
    <row r="8" spans="1:8" x14ac:dyDescent="0.3">
      <c r="A8" s="33" t="s">
        <v>26</v>
      </c>
      <c r="B8" s="33" t="s">
        <v>31</v>
      </c>
      <c r="C8" s="33" t="s">
        <v>28</v>
      </c>
      <c r="D8" s="33" t="s">
        <v>29</v>
      </c>
      <c r="E8" s="33">
        <v>296</v>
      </c>
      <c r="F8" s="33">
        <v>320</v>
      </c>
      <c r="G8" s="34" t="str">
        <f t="shared" si="0"/>
        <v>2024-01-02M-01</v>
      </c>
      <c r="H8" s="35">
        <f>IFERROR(VLOOKUP(G8,'3.Data_Downtime'!$E$2:$F$100,2,0),0)</f>
        <v>0</v>
      </c>
    </row>
    <row r="9" spans="1:8" x14ac:dyDescent="0.3">
      <c r="A9" s="36" t="s">
        <v>26</v>
      </c>
      <c r="B9" s="36" t="s">
        <v>27</v>
      </c>
      <c r="C9" s="36" t="s">
        <v>32</v>
      </c>
      <c r="D9" s="36" t="s">
        <v>33</v>
      </c>
      <c r="E9" s="36">
        <v>158</v>
      </c>
      <c r="F9" s="36">
        <v>200</v>
      </c>
      <c r="G9" s="34" t="str">
        <f t="shared" si="0"/>
        <v>2024-01-02M-02</v>
      </c>
      <c r="H9" s="35">
        <f>IFERROR(VLOOKUP(G9,'3.Data_Downtime'!$E$2:$F$100,2,0),0)</f>
        <v>0</v>
      </c>
    </row>
    <row r="10" spans="1:8" x14ac:dyDescent="0.3">
      <c r="A10" s="33" t="s">
        <v>26</v>
      </c>
      <c r="B10" s="33" t="s">
        <v>30</v>
      </c>
      <c r="C10" s="33" t="s">
        <v>32</v>
      </c>
      <c r="D10" s="33" t="s">
        <v>33</v>
      </c>
      <c r="E10" s="33">
        <v>179</v>
      </c>
      <c r="F10" s="33">
        <v>200</v>
      </c>
      <c r="G10" s="34" t="str">
        <f t="shared" si="0"/>
        <v>2024-01-02M-02</v>
      </c>
      <c r="H10" s="35">
        <f>IFERROR(VLOOKUP(G10,'3.Data_Downtime'!$E$2:$F$100,2,0),0)</f>
        <v>0</v>
      </c>
    </row>
    <row r="11" spans="1:8" x14ac:dyDescent="0.3">
      <c r="A11" s="36" t="s">
        <v>26</v>
      </c>
      <c r="B11" s="36" t="s">
        <v>31</v>
      </c>
      <c r="C11" s="36" t="s">
        <v>32</v>
      </c>
      <c r="D11" s="36" t="s">
        <v>33</v>
      </c>
      <c r="E11" s="36">
        <v>177</v>
      </c>
      <c r="F11" s="36">
        <v>200</v>
      </c>
      <c r="G11" s="34" t="str">
        <f t="shared" si="0"/>
        <v>2024-01-02M-02</v>
      </c>
      <c r="H11" s="35">
        <f>IFERROR(VLOOKUP(G11,'3.Data_Downtime'!$E$2:$F$100,2,0),0)</f>
        <v>0</v>
      </c>
    </row>
    <row r="12" spans="1:8" x14ac:dyDescent="0.3">
      <c r="A12" s="33" t="s">
        <v>26</v>
      </c>
      <c r="B12" s="33" t="s">
        <v>27</v>
      </c>
      <c r="C12" s="33" t="s">
        <v>34</v>
      </c>
      <c r="D12" s="33" t="s">
        <v>35</v>
      </c>
      <c r="E12" s="33">
        <v>412</v>
      </c>
      <c r="F12" s="33">
        <v>400</v>
      </c>
      <c r="G12" s="34" t="str">
        <f t="shared" si="0"/>
        <v>2024-01-02M-03</v>
      </c>
      <c r="H12" s="35">
        <f>IFERROR(VLOOKUP(G12,'3.Data_Downtime'!$E$2:$F$100,2,0),0)</f>
        <v>0</v>
      </c>
    </row>
    <row r="13" spans="1:8" x14ac:dyDescent="0.3">
      <c r="A13" s="36" t="s">
        <v>26</v>
      </c>
      <c r="B13" s="36" t="s">
        <v>30</v>
      </c>
      <c r="C13" s="36" t="s">
        <v>34</v>
      </c>
      <c r="D13" s="36" t="s">
        <v>35</v>
      </c>
      <c r="E13" s="36">
        <v>357</v>
      </c>
      <c r="F13" s="36">
        <v>400</v>
      </c>
      <c r="G13" s="34" t="str">
        <f t="shared" si="0"/>
        <v>2024-01-02M-03</v>
      </c>
      <c r="H13" s="35">
        <f>IFERROR(VLOOKUP(G13,'3.Data_Downtime'!$E$2:$F$100,2,0),0)</f>
        <v>0</v>
      </c>
    </row>
    <row r="14" spans="1:8" x14ac:dyDescent="0.3">
      <c r="A14" s="33" t="s">
        <v>26</v>
      </c>
      <c r="B14" s="33" t="s">
        <v>31</v>
      </c>
      <c r="C14" s="33" t="s">
        <v>34</v>
      </c>
      <c r="D14" s="33" t="s">
        <v>35</v>
      </c>
      <c r="E14" s="33">
        <v>380</v>
      </c>
      <c r="F14" s="33">
        <v>400</v>
      </c>
      <c r="G14" s="34" t="str">
        <f t="shared" si="0"/>
        <v>2024-01-02M-03</v>
      </c>
      <c r="H14" s="35">
        <f>IFERROR(VLOOKUP(G14,'3.Data_Downtime'!$E$2:$F$100,2,0),0)</f>
        <v>0</v>
      </c>
    </row>
    <row r="15" spans="1:8" x14ac:dyDescent="0.3">
      <c r="A15" s="36" t="s">
        <v>36</v>
      </c>
      <c r="B15" s="36" t="s">
        <v>27</v>
      </c>
      <c r="C15" s="36" t="s">
        <v>28</v>
      </c>
      <c r="D15" s="36" t="s">
        <v>29</v>
      </c>
      <c r="E15" s="36">
        <v>283</v>
      </c>
      <c r="F15" s="36">
        <v>320</v>
      </c>
      <c r="G15" s="34" t="str">
        <f t="shared" si="0"/>
        <v>2024-01-03M-01</v>
      </c>
      <c r="H15" s="35">
        <f>IFERROR(VLOOKUP(G15,'3.Data_Downtime'!$E$2:$F$100,2,0),0)</f>
        <v>0</v>
      </c>
    </row>
    <row r="16" spans="1:8" x14ac:dyDescent="0.3">
      <c r="A16" s="33" t="s">
        <v>36</v>
      </c>
      <c r="B16" s="33" t="s">
        <v>30</v>
      </c>
      <c r="C16" s="33" t="s">
        <v>28</v>
      </c>
      <c r="D16" s="33" t="s">
        <v>29</v>
      </c>
      <c r="E16" s="33">
        <v>293</v>
      </c>
      <c r="F16" s="33">
        <v>320</v>
      </c>
      <c r="G16" s="34" t="str">
        <f t="shared" si="0"/>
        <v>2024-01-03M-01</v>
      </c>
      <c r="H16" s="35">
        <f>IFERROR(VLOOKUP(G16,'3.Data_Downtime'!$E$2:$F$100,2,0),0)</f>
        <v>0</v>
      </c>
    </row>
    <row r="17" spans="1:8" x14ac:dyDescent="0.3">
      <c r="A17" s="36" t="s">
        <v>36</v>
      </c>
      <c r="B17" s="36" t="s">
        <v>31</v>
      </c>
      <c r="C17" s="36" t="s">
        <v>28</v>
      </c>
      <c r="D17" s="36" t="s">
        <v>29</v>
      </c>
      <c r="E17" s="36">
        <v>309</v>
      </c>
      <c r="F17" s="36">
        <v>320</v>
      </c>
      <c r="G17" s="34" t="str">
        <f t="shared" si="0"/>
        <v>2024-01-03M-01</v>
      </c>
      <c r="H17" s="35">
        <f>IFERROR(VLOOKUP(G17,'3.Data_Downtime'!$E$2:$F$100,2,0),0)</f>
        <v>0</v>
      </c>
    </row>
    <row r="18" spans="1:8" x14ac:dyDescent="0.3">
      <c r="A18" s="33" t="s">
        <v>36</v>
      </c>
      <c r="B18" s="33" t="s">
        <v>27</v>
      </c>
      <c r="C18" s="33" t="s">
        <v>32</v>
      </c>
      <c r="D18" s="33" t="s">
        <v>33</v>
      </c>
      <c r="E18" s="33">
        <v>151</v>
      </c>
      <c r="F18" s="33">
        <v>200</v>
      </c>
      <c r="G18" s="34" t="str">
        <f t="shared" si="0"/>
        <v>2024-01-03M-02</v>
      </c>
      <c r="H18" s="35">
        <f>IFERROR(VLOOKUP(G18,'3.Data_Downtime'!$E$2:$F$100,2,0),0)</f>
        <v>0</v>
      </c>
    </row>
    <row r="19" spans="1:8" x14ac:dyDescent="0.3">
      <c r="A19" s="36" t="s">
        <v>36</v>
      </c>
      <c r="B19" s="36" t="s">
        <v>30</v>
      </c>
      <c r="C19" s="36" t="s">
        <v>32</v>
      </c>
      <c r="D19" s="36" t="s">
        <v>33</v>
      </c>
      <c r="E19" s="36">
        <v>157</v>
      </c>
      <c r="F19" s="36">
        <v>200</v>
      </c>
      <c r="G19" s="34" t="str">
        <f t="shared" si="0"/>
        <v>2024-01-03M-02</v>
      </c>
      <c r="H19" s="35">
        <f>IFERROR(VLOOKUP(G19,'3.Data_Downtime'!$E$2:$F$100,2,0),0)</f>
        <v>0</v>
      </c>
    </row>
    <row r="20" spans="1:8" x14ac:dyDescent="0.3">
      <c r="A20" s="33" t="s">
        <v>36</v>
      </c>
      <c r="B20" s="33" t="s">
        <v>31</v>
      </c>
      <c r="C20" s="33" t="s">
        <v>32</v>
      </c>
      <c r="D20" s="33" t="s">
        <v>33</v>
      </c>
      <c r="E20" s="33">
        <v>175</v>
      </c>
      <c r="F20" s="33">
        <v>200</v>
      </c>
      <c r="G20" s="34" t="str">
        <f t="shared" si="0"/>
        <v>2024-01-03M-02</v>
      </c>
      <c r="H20" s="35">
        <f>IFERROR(VLOOKUP(G20,'3.Data_Downtime'!$E$2:$F$100,2,0),0)</f>
        <v>0</v>
      </c>
    </row>
    <row r="21" spans="1:8" x14ac:dyDescent="0.3">
      <c r="A21" s="36" t="s">
        <v>36</v>
      </c>
      <c r="B21" s="36" t="s">
        <v>27</v>
      </c>
      <c r="C21" s="36" t="s">
        <v>34</v>
      </c>
      <c r="D21" s="36" t="s">
        <v>35</v>
      </c>
      <c r="E21" s="36">
        <v>389</v>
      </c>
      <c r="F21" s="36">
        <v>400</v>
      </c>
      <c r="G21" s="34" t="str">
        <f t="shared" si="0"/>
        <v>2024-01-03M-03</v>
      </c>
      <c r="H21" s="35">
        <f>IFERROR(VLOOKUP(G21,'3.Data_Downtime'!$E$2:$F$100,2,0),0)</f>
        <v>60</v>
      </c>
    </row>
    <row r="22" spans="1:8" x14ac:dyDescent="0.3">
      <c r="A22" s="33" t="s">
        <v>36</v>
      </c>
      <c r="B22" s="33" t="s">
        <v>30</v>
      </c>
      <c r="C22" s="33" t="s">
        <v>34</v>
      </c>
      <c r="D22" s="33" t="s">
        <v>35</v>
      </c>
      <c r="E22" s="33">
        <v>366</v>
      </c>
      <c r="F22" s="33">
        <v>400</v>
      </c>
      <c r="G22" s="34" t="str">
        <f t="shared" si="0"/>
        <v>2024-01-03M-03</v>
      </c>
      <c r="H22" s="35">
        <f>IFERROR(VLOOKUP(G22,'3.Data_Downtime'!$E$2:$F$100,2,0),0)</f>
        <v>60</v>
      </c>
    </row>
    <row r="23" spans="1:8" x14ac:dyDescent="0.3">
      <c r="A23" s="36" t="s">
        <v>36</v>
      </c>
      <c r="B23" s="36" t="s">
        <v>31</v>
      </c>
      <c r="C23" s="36" t="s">
        <v>34</v>
      </c>
      <c r="D23" s="36" t="s">
        <v>35</v>
      </c>
      <c r="E23" s="36">
        <v>392</v>
      </c>
      <c r="F23" s="36">
        <v>400</v>
      </c>
      <c r="G23" s="34" t="str">
        <f t="shared" si="0"/>
        <v>2024-01-03M-03</v>
      </c>
      <c r="H23" s="35">
        <f>IFERROR(VLOOKUP(G23,'3.Data_Downtime'!$E$2:$F$100,2,0),0)</f>
        <v>60</v>
      </c>
    </row>
    <row r="24" spans="1:8" x14ac:dyDescent="0.3">
      <c r="A24" s="33" t="s">
        <v>37</v>
      </c>
      <c r="B24" s="33" t="s">
        <v>27</v>
      </c>
      <c r="C24" s="33" t="s">
        <v>28</v>
      </c>
      <c r="D24" s="33" t="s">
        <v>29</v>
      </c>
      <c r="E24" s="33">
        <v>325</v>
      </c>
      <c r="F24" s="33">
        <v>320</v>
      </c>
      <c r="G24" s="34" t="str">
        <f t="shared" si="0"/>
        <v>2024-01-04M-01</v>
      </c>
      <c r="H24" s="35">
        <f>IFERROR(VLOOKUP(G24,'3.Data_Downtime'!$E$2:$F$100,2,0),0)</f>
        <v>0</v>
      </c>
    </row>
    <row r="25" spans="1:8" x14ac:dyDescent="0.3">
      <c r="A25" s="36" t="s">
        <v>37</v>
      </c>
      <c r="B25" s="36" t="s">
        <v>30</v>
      </c>
      <c r="C25" s="36" t="s">
        <v>28</v>
      </c>
      <c r="D25" s="36" t="s">
        <v>29</v>
      </c>
      <c r="E25" s="36">
        <v>281</v>
      </c>
      <c r="F25" s="36">
        <v>320</v>
      </c>
      <c r="G25" s="34" t="str">
        <f t="shared" si="0"/>
        <v>2024-01-04M-01</v>
      </c>
      <c r="H25" s="35">
        <f>IFERROR(VLOOKUP(G25,'3.Data_Downtime'!$E$2:$F$100,2,0),0)</f>
        <v>0</v>
      </c>
    </row>
    <row r="26" spans="1:8" x14ac:dyDescent="0.3">
      <c r="A26" s="33" t="s">
        <v>37</v>
      </c>
      <c r="B26" s="33" t="s">
        <v>31</v>
      </c>
      <c r="C26" s="33" t="s">
        <v>28</v>
      </c>
      <c r="D26" s="33" t="s">
        <v>29</v>
      </c>
      <c r="E26" s="33">
        <v>325</v>
      </c>
      <c r="F26" s="33">
        <v>320</v>
      </c>
      <c r="G26" s="34" t="str">
        <f t="shared" si="0"/>
        <v>2024-01-04M-01</v>
      </c>
      <c r="H26" s="35">
        <f>IFERROR(VLOOKUP(G26,'3.Data_Downtime'!$E$2:$F$100,2,0),0)</f>
        <v>0</v>
      </c>
    </row>
    <row r="27" spans="1:8" x14ac:dyDescent="0.3">
      <c r="A27" s="36" t="s">
        <v>37</v>
      </c>
      <c r="B27" s="36" t="s">
        <v>27</v>
      </c>
      <c r="C27" s="36" t="s">
        <v>32</v>
      </c>
      <c r="D27" s="36" t="s">
        <v>33</v>
      </c>
      <c r="E27" s="36">
        <v>177</v>
      </c>
      <c r="F27" s="36">
        <v>200</v>
      </c>
      <c r="G27" s="34" t="str">
        <f t="shared" si="0"/>
        <v>2024-01-04M-02</v>
      </c>
      <c r="H27" s="35">
        <f>IFERROR(VLOOKUP(G27,'3.Data_Downtime'!$E$2:$F$100,2,0),0)</f>
        <v>0</v>
      </c>
    </row>
    <row r="28" spans="1:8" x14ac:dyDescent="0.3">
      <c r="A28" s="33" t="s">
        <v>37</v>
      </c>
      <c r="B28" s="33" t="s">
        <v>30</v>
      </c>
      <c r="C28" s="33" t="s">
        <v>32</v>
      </c>
      <c r="D28" s="33" t="s">
        <v>33</v>
      </c>
      <c r="E28" s="33">
        <v>163</v>
      </c>
      <c r="F28" s="33">
        <v>200</v>
      </c>
      <c r="G28" s="34" t="str">
        <f t="shared" si="0"/>
        <v>2024-01-04M-02</v>
      </c>
      <c r="H28" s="35">
        <f>IFERROR(VLOOKUP(G28,'3.Data_Downtime'!$E$2:$F$100,2,0),0)</f>
        <v>0</v>
      </c>
    </row>
    <row r="29" spans="1:8" x14ac:dyDescent="0.3">
      <c r="A29" s="36" t="s">
        <v>37</v>
      </c>
      <c r="B29" s="36" t="s">
        <v>31</v>
      </c>
      <c r="C29" s="36" t="s">
        <v>32</v>
      </c>
      <c r="D29" s="36" t="s">
        <v>33</v>
      </c>
      <c r="E29" s="36">
        <v>156</v>
      </c>
      <c r="F29" s="36">
        <v>200</v>
      </c>
      <c r="G29" s="34" t="str">
        <f t="shared" si="0"/>
        <v>2024-01-04M-02</v>
      </c>
      <c r="H29" s="35">
        <f>IFERROR(VLOOKUP(G29,'3.Data_Downtime'!$E$2:$F$100,2,0),0)</f>
        <v>0</v>
      </c>
    </row>
    <row r="30" spans="1:8" x14ac:dyDescent="0.3">
      <c r="A30" s="33" t="s">
        <v>37</v>
      </c>
      <c r="B30" s="33" t="s">
        <v>27</v>
      </c>
      <c r="C30" s="33" t="s">
        <v>34</v>
      </c>
      <c r="D30" s="33" t="s">
        <v>35</v>
      </c>
      <c r="E30" s="33">
        <v>417</v>
      </c>
      <c r="F30" s="33">
        <v>400</v>
      </c>
      <c r="G30" s="34" t="str">
        <f t="shared" si="0"/>
        <v>2024-01-04M-03</v>
      </c>
      <c r="H30" s="35">
        <f>IFERROR(VLOOKUP(G30,'3.Data_Downtime'!$E$2:$F$100,2,0),0)</f>
        <v>0</v>
      </c>
    </row>
    <row r="31" spans="1:8" x14ac:dyDescent="0.3">
      <c r="A31" s="36" t="s">
        <v>37</v>
      </c>
      <c r="B31" s="36" t="s">
        <v>30</v>
      </c>
      <c r="C31" s="36" t="s">
        <v>34</v>
      </c>
      <c r="D31" s="36" t="s">
        <v>35</v>
      </c>
      <c r="E31" s="36">
        <v>374</v>
      </c>
      <c r="F31" s="36">
        <v>400</v>
      </c>
      <c r="G31" s="34" t="str">
        <f t="shared" si="0"/>
        <v>2024-01-04M-03</v>
      </c>
      <c r="H31" s="35">
        <f>IFERROR(VLOOKUP(G31,'3.Data_Downtime'!$E$2:$F$100,2,0),0)</f>
        <v>0</v>
      </c>
    </row>
    <row r="32" spans="1:8" x14ac:dyDescent="0.3">
      <c r="A32" s="33" t="s">
        <v>37</v>
      </c>
      <c r="B32" s="33" t="s">
        <v>31</v>
      </c>
      <c r="C32" s="33" t="s">
        <v>34</v>
      </c>
      <c r="D32" s="33" t="s">
        <v>35</v>
      </c>
      <c r="E32" s="33">
        <v>358</v>
      </c>
      <c r="F32" s="33">
        <v>400</v>
      </c>
      <c r="G32" s="34" t="str">
        <f t="shared" si="0"/>
        <v>2024-01-04M-03</v>
      </c>
      <c r="H32" s="35">
        <f>IFERROR(VLOOKUP(G32,'3.Data_Downtime'!$E$2:$F$100,2,0),0)</f>
        <v>0</v>
      </c>
    </row>
    <row r="33" spans="1:8" x14ac:dyDescent="0.3">
      <c r="A33" s="36" t="s">
        <v>38</v>
      </c>
      <c r="B33" s="36" t="s">
        <v>27</v>
      </c>
      <c r="C33" s="36" t="s">
        <v>28</v>
      </c>
      <c r="D33" s="36" t="s">
        <v>29</v>
      </c>
      <c r="E33" s="36">
        <v>286</v>
      </c>
      <c r="F33" s="36">
        <v>320</v>
      </c>
      <c r="G33" s="34" t="str">
        <f t="shared" si="0"/>
        <v>2024-01-05M-01</v>
      </c>
      <c r="H33" s="35">
        <f>IFERROR(VLOOKUP(G33,'3.Data_Downtime'!$E$2:$F$100,2,0),0)</f>
        <v>0</v>
      </c>
    </row>
    <row r="34" spans="1:8" x14ac:dyDescent="0.3">
      <c r="A34" s="33" t="s">
        <v>38</v>
      </c>
      <c r="B34" s="33" t="s">
        <v>30</v>
      </c>
      <c r="C34" s="33" t="s">
        <v>28</v>
      </c>
      <c r="D34" s="33" t="s">
        <v>29</v>
      </c>
      <c r="E34" s="33">
        <v>327</v>
      </c>
      <c r="F34" s="33">
        <v>320</v>
      </c>
      <c r="G34" s="34" t="str">
        <f t="shared" si="0"/>
        <v>2024-01-05M-01</v>
      </c>
      <c r="H34" s="35">
        <f>IFERROR(VLOOKUP(G34,'3.Data_Downtime'!$E$2:$F$100,2,0),0)</f>
        <v>0</v>
      </c>
    </row>
    <row r="35" spans="1:8" x14ac:dyDescent="0.3">
      <c r="A35" s="36" t="s">
        <v>38</v>
      </c>
      <c r="B35" s="36" t="s">
        <v>31</v>
      </c>
      <c r="C35" s="36" t="s">
        <v>28</v>
      </c>
      <c r="D35" s="36" t="s">
        <v>29</v>
      </c>
      <c r="E35" s="36">
        <v>314</v>
      </c>
      <c r="F35" s="36">
        <v>320</v>
      </c>
      <c r="G35" s="34" t="str">
        <f t="shared" si="0"/>
        <v>2024-01-05M-01</v>
      </c>
      <c r="H35" s="35">
        <f>IFERROR(VLOOKUP(G35,'3.Data_Downtime'!$E$2:$F$100,2,0),0)</f>
        <v>0</v>
      </c>
    </row>
    <row r="37" spans="1:8" ht="30" customHeight="1" x14ac:dyDescent="0.3">
      <c r="A37" s="10" t="s">
        <v>102</v>
      </c>
      <c r="B37" s="10"/>
      <c r="C37" s="10"/>
      <c r="D37" s="10"/>
      <c r="E37" s="10"/>
      <c r="F37" s="10"/>
      <c r="G37" s="10"/>
      <c r="H37" s="10"/>
    </row>
  </sheetData>
  <mergeCells count="3">
    <mergeCell ref="A2:H2"/>
    <mergeCell ref="A3:H3"/>
    <mergeCell ref="A37:H37"/>
  </mergeCells>
  <pageMargins left="0.75" right="0.75" top="1" bottom="1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2:L28"/>
  <sheetViews>
    <sheetView showGridLines="0" tabSelected="1" zoomScale="43" zoomScaleNormal="100" workbookViewId="0">
      <selection activeCell="AB33" sqref="AB33"/>
    </sheetView>
  </sheetViews>
  <sheetFormatPr defaultColWidth="8.6640625" defaultRowHeight="14.4" x14ac:dyDescent="0.3"/>
  <cols>
    <col min="1" max="1" width="2" customWidth="1"/>
    <col min="2" max="2" width="26" customWidth="1"/>
    <col min="3" max="3" width="16" customWidth="1"/>
    <col min="4" max="4" width="4" customWidth="1"/>
    <col min="5" max="5" width="26" customWidth="1"/>
    <col min="6" max="8" width="16" customWidth="1"/>
  </cols>
  <sheetData>
    <row r="2" spans="2:12" ht="30" customHeight="1" x14ac:dyDescent="0.3">
      <c r="B2" s="6" t="s">
        <v>103</v>
      </c>
      <c r="C2" s="6"/>
      <c r="D2" s="6"/>
      <c r="E2" s="6"/>
      <c r="F2" s="6"/>
      <c r="G2" s="6"/>
      <c r="H2" s="6"/>
      <c r="I2" s="6"/>
      <c r="J2" s="6"/>
      <c r="K2" s="6"/>
      <c r="L2" s="6"/>
    </row>
    <row r="3" spans="2:12" x14ac:dyDescent="0.3">
      <c r="B3" s="11" t="s">
        <v>104</v>
      </c>
      <c r="C3" s="11"/>
      <c r="D3" s="11"/>
      <c r="E3" s="11"/>
      <c r="F3" s="11"/>
      <c r="G3" s="11"/>
      <c r="H3" s="11"/>
      <c r="I3" s="11"/>
      <c r="J3" s="11"/>
      <c r="K3" s="11"/>
      <c r="L3" s="11"/>
    </row>
    <row r="7" spans="2:12" x14ac:dyDescent="0.3">
      <c r="B7" s="37" t="s">
        <v>105</v>
      </c>
      <c r="C7" s="37"/>
      <c r="E7" s="5" t="s">
        <v>106</v>
      </c>
      <c r="F7" s="5"/>
      <c r="G7" s="5"/>
      <c r="H7" s="5"/>
    </row>
    <row r="8" spans="2:12" ht="27.6" x14ac:dyDescent="0.3">
      <c r="B8" s="38" t="s">
        <v>107</v>
      </c>
      <c r="C8" s="39">
        <f>SUMIF('1.Data_Produksi'!C:C,"M-01",'1.Data_Produksi'!E:E)+SUMIF('1.Data_Produksi'!C:C,"M-02",'1.Data_Produksi'!E:E)+SUMIF('1.Data_Produksi'!C:C,"M-03",'1.Data_Produksi'!E:E)</f>
        <v>67295</v>
      </c>
      <c r="E8" s="25" t="s">
        <v>92</v>
      </c>
      <c r="F8" s="25" t="s">
        <v>93</v>
      </c>
      <c r="G8" s="25" t="s">
        <v>108</v>
      </c>
      <c r="H8" s="25" t="s">
        <v>109</v>
      </c>
    </row>
    <row r="9" spans="2:12" x14ac:dyDescent="0.3">
      <c r="B9" s="38" t="s">
        <v>110</v>
      </c>
      <c r="C9" s="39">
        <f>SUMIF('1.Data_Produksi'!C:C,"M-01",'1.Data_Produksi'!F:F)+SUMIF('1.Data_Produksi'!C:C,"M-02",'1.Data_Produksi'!F:F)+SUMIF('1.Data_Produksi'!C:C,"M-03",'1.Data_Produksi'!F:F)</f>
        <v>71760</v>
      </c>
      <c r="E9" s="40" t="s">
        <v>28</v>
      </c>
      <c r="F9" s="28">
        <f>SUMIF('1.Data_Produksi'!$C:$C,E9,'1.Data_Produksi'!$E:$E)</f>
        <v>24212</v>
      </c>
      <c r="G9" s="28">
        <f>SUMIF('1.Data_Produksi'!$C:$C,E9,'1.Data_Produksi'!$F:$F)</f>
        <v>24960</v>
      </c>
      <c r="H9" s="41">
        <f>ROUND(F9/G9*100,1)</f>
        <v>97</v>
      </c>
    </row>
    <row r="10" spans="2:12" x14ac:dyDescent="0.3">
      <c r="B10" s="38" t="s">
        <v>111</v>
      </c>
      <c r="C10" s="42">
        <f>ROUND(C8/C9*100,1)</f>
        <v>93.8</v>
      </c>
      <c r="E10" s="40" t="s">
        <v>32</v>
      </c>
      <c r="F10" s="26">
        <f>SUMIF('1.Data_Produksi'!$C:$C,E10,'1.Data_Produksi'!$E:$E)</f>
        <v>13065</v>
      </c>
      <c r="G10" s="26">
        <f>SUMIF('1.Data_Produksi'!$C:$C,E10,'1.Data_Produksi'!$F:$F)</f>
        <v>15600</v>
      </c>
      <c r="H10" s="43">
        <f>ROUND(F10/G10*100,1)</f>
        <v>83.8</v>
      </c>
    </row>
    <row r="11" spans="2:12" x14ac:dyDescent="0.3">
      <c r="B11" s="44" t="s">
        <v>112</v>
      </c>
      <c r="C11" s="45">
        <f>SUM('2.Data_Reject'!D:D)</f>
        <v>1277</v>
      </c>
      <c r="E11" s="40" t="s">
        <v>34</v>
      </c>
      <c r="F11" s="28">
        <f>SUMIF('1.Data_Produksi'!$C:$C,E11,'1.Data_Produksi'!$E:$E)</f>
        <v>30018</v>
      </c>
      <c r="G11" s="28">
        <f>SUMIF('1.Data_Produksi'!$C:$C,E11,'1.Data_Produksi'!$F:$F)</f>
        <v>31200</v>
      </c>
      <c r="H11" s="41">
        <f>ROUND(F11/G11*100,1)</f>
        <v>96.2</v>
      </c>
    </row>
    <row r="12" spans="2:12" x14ac:dyDescent="0.3">
      <c r="B12" s="44" t="s">
        <v>113</v>
      </c>
      <c r="C12" s="46">
        <f>ROUND(C11/C8*100,2)</f>
        <v>1.9</v>
      </c>
    </row>
    <row r="13" spans="2:12" x14ac:dyDescent="0.3">
      <c r="E13" s="4" t="s">
        <v>114</v>
      </c>
      <c r="F13" s="4"/>
      <c r="G13" s="4"/>
      <c r="H13" s="4"/>
    </row>
    <row r="14" spans="2:12" ht="27.6" x14ac:dyDescent="0.3">
      <c r="E14" s="47" t="s">
        <v>92</v>
      </c>
      <c r="F14" s="47" t="s">
        <v>94</v>
      </c>
      <c r="G14" s="47" t="s">
        <v>93</v>
      </c>
      <c r="H14" s="47" t="s">
        <v>95</v>
      </c>
    </row>
    <row r="15" spans="2:12" x14ac:dyDescent="0.3">
      <c r="E15" s="30" t="s">
        <v>28</v>
      </c>
      <c r="F15" s="28">
        <f>SUMIF('2.Data_Reject'!$B:$B,E15,'2.Data_Reject'!$D:$D)</f>
        <v>253</v>
      </c>
      <c r="G15" s="28">
        <f>SUMIF('1.Data_Produksi'!$C:$C,E15,'1.Data_Produksi'!$E:$E)</f>
        <v>24212</v>
      </c>
      <c r="H15" s="48">
        <f>ROUND(F15/G15*100,2)</f>
        <v>1.04</v>
      </c>
    </row>
    <row r="16" spans="2:12" x14ac:dyDescent="0.3">
      <c r="E16" s="30" t="s">
        <v>32</v>
      </c>
      <c r="F16" s="26">
        <f>SUMIF('2.Data_Reject'!$B:$B,E16,'2.Data_Reject'!$D:$D)</f>
        <v>686</v>
      </c>
      <c r="G16" s="26">
        <f>SUMIF('1.Data_Produksi'!$C:$C,E16,'1.Data_Produksi'!$E:$E)</f>
        <v>13065</v>
      </c>
      <c r="H16" s="49">
        <f>ROUND(F16/G16*100,2)</f>
        <v>5.25</v>
      </c>
    </row>
    <row r="17" spans="2:12" x14ac:dyDescent="0.3">
      <c r="E17" s="30" t="s">
        <v>34</v>
      </c>
      <c r="F17" s="28">
        <f>SUMIF('2.Data_Reject'!$B:$B,E17,'2.Data_Reject'!$D:$D)</f>
        <v>338</v>
      </c>
      <c r="G17" s="28">
        <f>SUMIF('1.Data_Produksi'!$C:$C,E17,'1.Data_Produksi'!$E:$E)</f>
        <v>30018</v>
      </c>
      <c r="H17" s="48">
        <f>ROUND(F17/G17*100,2)</f>
        <v>1.1299999999999999</v>
      </c>
    </row>
    <row r="19" spans="2:12" x14ac:dyDescent="0.3">
      <c r="E19" s="3" t="s">
        <v>115</v>
      </c>
      <c r="F19" s="3"/>
      <c r="G19" s="3"/>
      <c r="H19" s="3"/>
    </row>
    <row r="20" spans="2:12" ht="15" customHeight="1" x14ac:dyDescent="0.3">
      <c r="E20" s="50" t="s">
        <v>116</v>
      </c>
      <c r="F20" s="2" t="s">
        <v>117</v>
      </c>
      <c r="G20" s="2"/>
      <c r="H20" s="2"/>
    </row>
    <row r="21" spans="2:12" x14ac:dyDescent="0.3">
      <c r="E21" s="51" t="s">
        <v>75</v>
      </c>
      <c r="F21" s="1">
        <f>SUMIF('3.Data_Downtime'!$D:$D,E21,'3.Data_Downtime'!$C:$C)</f>
        <v>120</v>
      </c>
      <c r="G21" s="1"/>
      <c r="H21" s="1"/>
      <c r="I21" s="54"/>
    </row>
    <row r="22" spans="2:12" x14ac:dyDescent="0.3">
      <c r="E22" s="51" t="s">
        <v>76</v>
      </c>
      <c r="F22" s="52">
        <f>SUMIF('3.Data_Downtime'!$D:$D,E22,'3.Data_Downtime'!$C:$C)</f>
        <v>690</v>
      </c>
      <c r="G22" s="52"/>
      <c r="H22" s="52"/>
    </row>
    <row r="23" spans="2:12" x14ac:dyDescent="0.3">
      <c r="E23" s="51" t="s">
        <v>74</v>
      </c>
      <c r="F23" s="1">
        <f>SUMIF('3.Data_Downtime'!$D:$D,E23,'3.Data_Downtime'!$C:$C)</f>
        <v>420</v>
      </c>
      <c r="G23" s="1"/>
      <c r="H23" s="1"/>
    </row>
    <row r="24" spans="2:12" x14ac:dyDescent="0.3">
      <c r="E24" s="51" t="s">
        <v>78</v>
      </c>
      <c r="F24" s="52">
        <f>SUMIF('3.Data_Downtime'!$D:$D,E24,'3.Data_Downtime'!$C:$C)</f>
        <v>330</v>
      </c>
      <c r="G24" s="52"/>
      <c r="H24" s="52"/>
    </row>
    <row r="25" spans="2:12" x14ac:dyDescent="0.3">
      <c r="E25" s="51" t="s">
        <v>73</v>
      </c>
      <c r="F25" s="1">
        <f>SUMIF('3.Data_Downtime'!$D:$D,E25,'3.Data_Downtime'!$C:$C)</f>
        <v>240</v>
      </c>
      <c r="G25" s="1"/>
      <c r="H25" s="1"/>
    </row>
    <row r="26" spans="2:12" x14ac:dyDescent="0.3">
      <c r="E26" s="51" t="s">
        <v>77</v>
      </c>
      <c r="F26" s="52">
        <f>SUMIF('3.Data_Downtime'!$D:$D,E26,'3.Data_Downtime'!$C:$C)</f>
        <v>120</v>
      </c>
      <c r="G26" s="52"/>
      <c r="H26" s="52"/>
    </row>
    <row r="27" spans="2:12" x14ac:dyDescent="0.3">
      <c r="G27" s="54"/>
    </row>
    <row r="28" spans="2:12" ht="27.75" customHeight="1" x14ac:dyDescent="0.3">
      <c r="B28" s="53" t="s">
        <v>118</v>
      </c>
      <c r="C28" s="53"/>
      <c r="D28" s="53"/>
      <c r="E28" s="53"/>
      <c r="F28" s="53"/>
      <c r="G28" s="53"/>
      <c r="H28" s="53"/>
      <c r="I28" s="53"/>
      <c r="J28" s="53"/>
      <c r="K28" s="53"/>
      <c r="L28" s="53"/>
    </row>
  </sheetData>
  <mergeCells count="13">
    <mergeCell ref="F25:H25"/>
    <mergeCell ref="F26:H26"/>
    <mergeCell ref="B28:L28"/>
    <mergeCell ref="F20:H20"/>
    <mergeCell ref="F21:H21"/>
    <mergeCell ref="F22:H22"/>
    <mergeCell ref="F23:H23"/>
    <mergeCell ref="F24:H24"/>
    <mergeCell ref="B2:L2"/>
    <mergeCell ref="B3:L3"/>
    <mergeCell ref="E7:H7"/>
    <mergeCell ref="E13:H13"/>
    <mergeCell ref="E19:H19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README</vt:lpstr>
      <vt:lpstr>1.Data_Produksi</vt:lpstr>
      <vt:lpstr>2.Data_Reject</vt:lpstr>
      <vt:lpstr>3.Data_Downtime</vt:lpstr>
      <vt:lpstr>4.Data_Material</vt:lpstr>
      <vt:lpstr>5.Soal_1_1_Pivot</vt:lpstr>
      <vt:lpstr>6.Soal_1_2_RejectRate</vt:lpstr>
      <vt:lpstr>7.Soal_1_3_VLOOKUP</vt:lpstr>
      <vt:lpstr>8.Soal_1_4_Dashboard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zihan abidin</cp:lastModifiedBy>
  <cp:revision>0</cp:revision>
  <dcterms:created xsi:type="dcterms:W3CDTF">2026-05-16T02:56:22Z</dcterms:created>
  <dcterms:modified xsi:type="dcterms:W3CDTF">2026-08-12T07:11:24Z</dcterms:modified>
  <dc:language>en-US</dc:language>
</cp:coreProperties>
</file>